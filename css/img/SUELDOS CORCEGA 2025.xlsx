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in\Dropbox\"/>
    </mc:Choice>
  </mc:AlternateContent>
  <xr:revisionPtr revIDLastSave="0" documentId="13_ncr:1_{CFA28DE0-3B18-4196-8048-DADACA10D824}" xr6:coauthVersionLast="47" xr6:coauthVersionMax="47" xr10:uidLastSave="{00000000-0000-0000-0000-000000000000}"/>
  <bookViews>
    <workbookView xWindow="-108" yWindow="-108" windowWidth="23256" windowHeight="12456" firstSheet="14" activeTab="22" xr2:uid="{00000000-000D-0000-FFFF-FFFF00000000}"/>
  </bookViews>
  <sheets>
    <sheet name="R MARZO" sheetId="2" r:id="rId1"/>
    <sheet name="Hoja1" sheetId="31" r:id="rId2"/>
    <sheet name="Hoja2" sheetId="32" r:id="rId3"/>
    <sheet name="ENERO" sheetId="3" r:id="rId4"/>
    <sheet name="FEBRERO" sheetId="24" r:id="rId5"/>
    <sheet name="MARZO" sheetId="25" r:id="rId6"/>
    <sheet name="ABRIL" sheetId="26" r:id="rId7"/>
    <sheet name="R ABRL" sheetId="28" r:id="rId8"/>
    <sheet name="MAYO" sheetId="27" r:id="rId9"/>
    <sheet name="R.MAYO" sheetId="30" r:id="rId10"/>
    <sheet name="JUNIO" sheetId="29" r:id="rId11"/>
    <sheet name="R.JUNIO" sheetId="33" r:id="rId12"/>
    <sheet name="JULIO" sheetId="35" r:id="rId13"/>
    <sheet name="R. JULIO" sheetId="36" r:id="rId14"/>
    <sheet name="AGOSTO" sheetId="38" r:id="rId15"/>
    <sheet name="R. AGOSTO" sheetId="39" r:id="rId16"/>
    <sheet name="SEPTIEMBRE" sheetId="41" r:id="rId17"/>
    <sheet name="R. SEPTI" sheetId="42" r:id="rId18"/>
    <sheet name="OCTUBRE" sheetId="43" r:id="rId19"/>
    <sheet name="R. OCTU" sheetId="44" r:id="rId20"/>
    <sheet name="NOVIE" sheetId="46" r:id="rId21"/>
    <sheet name="R.NOV" sheetId="47" r:id="rId22"/>
    <sheet name="DICI" sheetId="48" r:id="rId23"/>
    <sheet name="R. DIC" sheetId="49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49" l="1"/>
  <c r="E25" i="49" s="1"/>
  <c r="E27" i="49" s="1"/>
  <c r="B24" i="49"/>
  <c r="B25" i="49" s="1"/>
  <c r="B27" i="49" s="1"/>
  <c r="H15" i="49"/>
  <c r="H16" i="49" s="1"/>
  <c r="H18" i="49" s="1"/>
  <c r="E15" i="49"/>
  <c r="E16" i="49" s="1"/>
  <c r="E18" i="49" s="1"/>
  <c r="B15" i="49"/>
  <c r="B16" i="49" s="1"/>
  <c r="B18" i="49" s="1"/>
  <c r="H6" i="49"/>
  <c r="H7" i="49" s="1"/>
  <c r="H9" i="49" s="1"/>
  <c r="E6" i="49"/>
  <c r="E7" i="49" s="1"/>
  <c r="E9" i="49" s="1"/>
  <c r="B6" i="49"/>
  <c r="B7" i="49" s="1"/>
  <c r="B9" i="49" s="1"/>
  <c r="L3" i="48"/>
  <c r="L4" i="48"/>
  <c r="L5" i="48"/>
  <c r="L6" i="48"/>
  <c r="L7" i="48"/>
  <c r="L8" i="48"/>
  <c r="L9" i="48"/>
  <c r="L10" i="48"/>
  <c r="N3" i="48"/>
  <c r="N4" i="48"/>
  <c r="N5" i="48"/>
  <c r="N6" i="48"/>
  <c r="N7" i="48"/>
  <c r="N8" i="48"/>
  <c r="N9" i="48"/>
  <c r="N10" i="48"/>
  <c r="N2" i="48"/>
  <c r="N11" i="48"/>
  <c r="L2" i="48"/>
  <c r="E7" i="48"/>
  <c r="O8" i="48"/>
  <c r="E9" i="48"/>
  <c r="O7" i="48"/>
  <c r="O10" i="48"/>
  <c r="O2" i="48"/>
  <c r="M11" i="48"/>
  <c r="K11" i="48"/>
  <c r="J11" i="48"/>
  <c r="I11" i="48"/>
  <c r="H11" i="48"/>
  <c r="G11" i="48"/>
  <c r="E10" i="48"/>
  <c r="O9" i="48"/>
  <c r="O6" i="48"/>
  <c r="E6" i="48"/>
  <c r="O5" i="48"/>
  <c r="E5" i="48"/>
  <c r="O4" i="48"/>
  <c r="E4" i="48"/>
  <c r="O3" i="48"/>
  <c r="E3" i="48"/>
  <c r="E24" i="47"/>
  <c r="E25" i="47" s="1"/>
  <c r="E27" i="47" s="1"/>
  <c r="B24" i="47"/>
  <c r="B25" i="47" s="1"/>
  <c r="B27" i="47" s="1"/>
  <c r="H15" i="47"/>
  <c r="H16" i="47" s="1"/>
  <c r="H18" i="47" s="1"/>
  <c r="E15" i="47"/>
  <c r="E16" i="47" s="1"/>
  <c r="E18" i="47" s="1"/>
  <c r="B15" i="47"/>
  <c r="B16" i="47" s="1"/>
  <c r="B18" i="47" s="1"/>
  <c r="H6" i="47"/>
  <c r="H7" i="47" s="1"/>
  <c r="H9" i="47" s="1"/>
  <c r="E6" i="47"/>
  <c r="E7" i="47" s="1"/>
  <c r="E9" i="47" s="1"/>
  <c r="B6" i="47"/>
  <c r="B7" i="47" s="1"/>
  <c r="B9" i="47" s="1"/>
  <c r="O11" i="48" l="1"/>
  <c r="E8" i="48"/>
  <c r="E2" i="48"/>
  <c r="L11" i="48"/>
  <c r="F11" i="48"/>
  <c r="L2" i="46"/>
  <c r="N11" i="46"/>
  <c r="M11" i="46"/>
  <c r="K11" i="46"/>
  <c r="J11" i="46"/>
  <c r="I11" i="46"/>
  <c r="H11" i="46"/>
  <c r="G11" i="46"/>
  <c r="F11" i="46"/>
  <c r="O10" i="46"/>
  <c r="L10" i="46"/>
  <c r="E10" i="46"/>
  <c r="O9" i="46"/>
  <c r="L9" i="46"/>
  <c r="E9" i="46"/>
  <c r="O8" i="46"/>
  <c r="L8" i="46"/>
  <c r="E8" i="46"/>
  <c r="O7" i="46"/>
  <c r="L7" i="46"/>
  <c r="E7" i="46"/>
  <c r="O6" i="46"/>
  <c r="L6" i="46"/>
  <c r="E6" i="46"/>
  <c r="O5" i="46"/>
  <c r="L5" i="46"/>
  <c r="E5" i="46"/>
  <c r="O4" i="46"/>
  <c r="L4" i="46"/>
  <c r="E4" i="46"/>
  <c r="O3" i="46"/>
  <c r="L3" i="46"/>
  <c r="E3" i="46"/>
  <c r="O2" i="46"/>
  <c r="E2" i="46"/>
  <c r="H6" i="44"/>
  <c r="H7" i="44" s="1"/>
  <c r="H9" i="44" s="1"/>
  <c r="E24" i="44"/>
  <c r="E25" i="44" s="1"/>
  <c r="E27" i="44" s="1"/>
  <c r="B24" i="44"/>
  <c r="B25" i="44" s="1"/>
  <c r="B27" i="44" s="1"/>
  <c r="H15" i="44"/>
  <c r="H16" i="44" s="1"/>
  <c r="H18" i="44" s="1"/>
  <c r="E15" i="44"/>
  <c r="E16" i="44" s="1"/>
  <c r="E18" i="44" s="1"/>
  <c r="B15" i="44"/>
  <c r="B16" i="44" s="1"/>
  <c r="B18" i="44" s="1"/>
  <c r="E6" i="44"/>
  <c r="E7" i="44" s="1"/>
  <c r="E9" i="44" s="1"/>
  <c r="B6" i="44"/>
  <c r="B7" i="44" s="1"/>
  <c r="B9" i="44" s="1"/>
  <c r="O2" i="43"/>
  <c r="O3" i="43"/>
  <c r="L6" i="43"/>
  <c r="O9" i="43"/>
  <c r="O10" i="43"/>
  <c r="N11" i="43"/>
  <c r="M11" i="43"/>
  <c r="K11" i="43"/>
  <c r="J11" i="43"/>
  <c r="I11" i="43"/>
  <c r="H11" i="43"/>
  <c r="G11" i="43"/>
  <c r="E10" i="43"/>
  <c r="E9" i="43"/>
  <c r="O8" i="43"/>
  <c r="L8" i="43"/>
  <c r="E8" i="43"/>
  <c r="O7" i="43"/>
  <c r="L7" i="43"/>
  <c r="E7" i="43"/>
  <c r="E6" i="43"/>
  <c r="E5" i="43"/>
  <c r="O4" i="43"/>
  <c r="L4" i="43"/>
  <c r="E4" i="43"/>
  <c r="L3" i="43"/>
  <c r="E24" i="42"/>
  <c r="E25" i="42" s="1"/>
  <c r="E27" i="42" s="1"/>
  <c r="B24" i="42"/>
  <c r="B25" i="42" s="1"/>
  <c r="B27" i="42" s="1"/>
  <c r="H15" i="42"/>
  <c r="H16" i="42" s="1"/>
  <c r="H18" i="42" s="1"/>
  <c r="E15" i="42"/>
  <c r="E16" i="42" s="1"/>
  <c r="E18" i="42" s="1"/>
  <c r="B15" i="42"/>
  <c r="B16" i="42" s="1"/>
  <c r="B18" i="42" s="1"/>
  <c r="H6" i="42"/>
  <c r="H7" i="42" s="1"/>
  <c r="H9" i="42" s="1"/>
  <c r="E6" i="42"/>
  <c r="E7" i="42" s="1"/>
  <c r="E9" i="42" s="1"/>
  <c r="B6" i="42"/>
  <c r="B7" i="42" s="1"/>
  <c r="B9" i="42" s="1"/>
  <c r="O2" i="41"/>
  <c r="N11" i="41"/>
  <c r="M11" i="41"/>
  <c r="K11" i="41"/>
  <c r="J11" i="41"/>
  <c r="I11" i="41"/>
  <c r="H11" i="41"/>
  <c r="G11" i="41"/>
  <c r="O10" i="41"/>
  <c r="L10" i="41"/>
  <c r="E10" i="41"/>
  <c r="O9" i="41"/>
  <c r="L9" i="41"/>
  <c r="E9" i="41"/>
  <c r="O8" i="41"/>
  <c r="L8" i="41"/>
  <c r="E8" i="41"/>
  <c r="O7" i="41"/>
  <c r="L7" i="41"/>
  <c r="E7" i="41"/>
  <c r="O6" i="41"/>
  <c r="L6" i="41"/>
  <c r="E6" i="41"/>
  <c r="O5" i="41"/>
  <c r="L5" i="41"/>
  <c r="E5" i="41"/>
  <c r="O4" i="41"/>
  <c r="L4" i="41"/>
  <c r="E4" i="41"/>
  <c r="O3" i="41"/>
  <c r="L3" i="41"/>
  <c r="E3" i="41"/>
  <c r="E6" i="39"/>
  <c r="E7" i="39" s="1"/>
  <c r="E9" i="39" s="1"/>
  <c r="E24" i="39"/>
  <c r="E25" i="39" s="1"/>
  <c r="E27" i="39" s="1"/>
  <c r="B24" i="39"/>
  <c r="B25" i="39" s="1"/>
  <c r="B27" i="39" s="1"/>
  <c r="H15" i="39"/>
  <c r="H16" i="39" s="1"/>
  <c r="H18" i="39" s="1"/>
  <c r="E15" i="39"/>
  <c r="E16" i="39" s="1"/>
  <c r="E18" i="39" s="1"/>
  <c r="B15" i="39"/>
  <c r="B16" i="39" s="1"/>
  <c r="B18" i="39" s="1"/>
  <c r="H6" i="39"/>
  <c r="H7" i="39" s="1"/>
  <c r="H9" i="39" s="1"/>
  <c r="B6" i="39"/>
  <c r="B7" i="39" s="1"/>
  <c r="B9" i="39" s="1"/>
  <c r="F11" i="38"/>
  <c r="O10" i="38"/>
  <c r="O2" i="38"/>
  <c r="N11" i="38"/>
  <c r="M11" i="38"/>
  <c r="K11" i="38"/>
  <c r="J11" i="38"/>
  <c r="I11" i="38"/>
  <c r="H11" i="38"/>
  <c r="G11" i="38"/>
  <c r="E10" i="38"/>
  <c r="O9" i="38"/>
  <c r="L9" i="38"/>
  <c r="E9" i="38"/>
  <c r="O8" i="38"/>
  <c r="L8" i="38"/>
  <c r="E8" i="38"/>
  <c r="O7" i="38"/>
  <c r="L7" i="38"/>
  <c r="E7" i="38"/>
  <c r="E6" i="38"/>
  <c r="O5" i="38"/>
  <c r="L5" i="38"/>
  <c r="E5" i="38"/>
  <c r="O4" i="38"/>
  <c r="L4" i="38"/>
  <c r="E4" i="38"/>
  <c r="O3" i="38"/>
  <c r="L3" i="38"/>
  <c r="E3" i="38"/>
  <c r="E2" i="38"/>
  <c r="E24" i="36"/>
  <c r="E25" i="36" s="1"/>
  <c r="E27" i="36" s="1"/>
  <c r="B24" i="36"/>
  <c r="B25" i="36" s="1"/>
  <c r="B27" i="36" s="1"/>
  <c r="H15" i="36"/>
  <c r="H16" i="36" s="1"/>
  <c r="H18" i="36" s="1"/>
  <c r="E15" i="36"/>
  <c r="E16" i="36" s="1"/>
  <c r="E18" i="36" s="1"/>
  <c r="B15" i="36"/>
  <c r="B16" i="36" s="1"/>
  <c r="B18" i="36" s="1"/>
  <c r="H6" i="36"/>
  <c r="H7" i="36" s="1"/>
  <c r="H9" i="36" s="1"/>
  <c r="E6" i="36"/>
  <c r="E7" i="36" s="1"/>
  <c r="E9" i="36" s="1"/>
  <c r="B6" i="36"/>
  <c r="B7" i="36" s="1"/>
  <c r="B9" i="36" s="1"/>
  <c r="E10" i="35"/>
  <c r="E8" i="35"/>
  <c r="E7" i="35"/>
  <c r="E6" i="35"/>
  <c r="E4" i="35"/>
  <c r="E3" i="35"/>
  <c r="E5" i="35"/>
  <c r="E9" i="35"/>
  <c r="F11" i="35"/>
  <c r="O5" i="35"/>
  <c r="O6" i="35"/>
  <c r="L8" i="35"/>
  <c r="O9" i="35"/>
  <c r="O10" i="35"/>
  <c r="O2" i="35"/>
  <c r="N11" i="35"/>
  <c r="M11" i="35"/>
  <c r="K11" i="35"/>
  <c r="J11" i="35"/>
  <c r="I11" i="35"/>
  <c r="H11" i="35"/>
  <c r="G11" i="35"/>
  <c r="O8" i="35"/>
  <c r="O7" i="35"/>
  <c r="L7" i="35"/>
  <c r="O4" i="35"/>
  <c r="O3" i="35"/>
  <c r="L3" i="35"/>
  <c r="E2" i="35"/>
  <c r="B15" i="33"/>
  <c r="B16" i="33" s="1"/>
  <c r="B18" i="33" s="1"/>
  <c r="H6" i="33"/>
  <c r="H7" i="33" s="1"/>
  <c r="H9" i="33" s="1"/>
  <c r="E6" i="33"/>
  <c r="E7" i="33" s="1"/>
  <c r="E9" i="33" s="1"/>
  <c r="B6" i="33"/>
  <c r="B7" i="33" s="1"/>
  <c r="B9" i="33" s="1"/>
  <c r="E24" i="33"/>
  <c r="E25" i="33" s="1"/>
  <c r="E27" i="33" s="1"/>
  <c r="B24" i="33"/>
  <c r="B25" i="33" s="1"/>
  <c r="B27" i="33" s="1"/>
  <c r="H15" i="33"/>
  <c r="E15" i="33"/>
  <c r="E16" i="33" s="1"/>
  <c r="E18" i="33" s="1"/>
  <c r="O11" i="46" l="1"/>
  <c r="L11" i="46"/>
  <c r="E3" i="43"/>
  <c r="F11" i="43"/>
  <c r="L10" i="43"/>
  <c r="L5" i="43"/>
  <c r="O6" i="43"/>
  <c r="L9" i="43"/>
  <c r="O5" i="43"/>
  <c r="O11" i="43" s="1"/>
  <c r="E2" i="43"/>
  <c r="L2" i="43"/>
  <c r="F11" i="41"/>
  <c r="E2" i="41"/>
  <c r="L2" i="41"/>
  <c r="L11" i="41" s="1"/>
  <c r="O11" i="41"/>
  <c r="L6" i="38"/>
  <c r="L10" i="38"/>
  <c r="O6" i="38"/>
  <c r="O11" i="38" s="1"/>
  <c r="L2" i="38"/>
  <c r="L6" i="35"/>
  <c r="L10" i="35"/>
  <c r="L5" i="35"/>
  <c r="L9" i="35"/>
  <c r="L4" i="35"/>
  <c r="L2" i="35"/>
  <c r="O11" i="35"/>
  <c r="H16" i="33"/>
  <c r="H18" i="33" s="1"/>
  <c r="L3" i="29"/>
  <c r="L4" i="29"/>
  <c r="L5" i="29"/>
  <c r="L6" i="29"/>
  <c r="L7" i="29"/>
  <c r="L8" i="29"/>
  <c r="L9" i="29"/>
  <c r="L10" i="29"/>
  <c r="L2" i="29"/>
  <c r="H6" i="30"/>
  <c r="H7" i="30" s="1"/>
  <c r="H9" i="30" s="1"/>
  <c r="E24" i="30"/>
  <c r="E25" i="30" s="1"/>
  <c r="E27" i="30" s="1"/>
  <c r="B24" i="30"/>
  <c r="B25" i="30" s="1"/>
  <c r="B27" i="30" s="1"/>
  <c r="H15" i="30"/>
  <c r="H16" i="30" s="1"/>
  <c r="H18" i="30" s="1"/>
  <c r="E15" i="30"/>
  <c r="E16" i="30" s="1"/>
  <c r="E18" i="30" s="1"/>
  <c r="B15" i="30"/>
  <c r="B16" i="30" s="1"/>
  <c r="B18" i="30" s="1"/>
  <c r="E6" i="30"/>
  <c r="E7" i="30" s="1"/>
  <c r="E9" i="30" s="1"/>
  <c r="B6" i="30"/>
  <c r="B7" i="30" s="1"/>
  <c r="B9" i="30" s="1"/>
  <c r="P3" i="29"/>
  <c r="P4" i="29"/>
  <c r="P5" i="29"/>
  <c r="P6" i="29"/>
  <c r="P7" i="29"/>
  <c r="P8" i="29"/>
  <c r="P9" i="29"/>
  <c r="P10" i="29"/>
  <c r="P2" i="29"/>
  <c r="N11" i="29"/>
  <c r="M11" i="29"/>
  <c r="K11" i="29"/>
  <c r="J11" i="29"/>
  <c r="I11" i="29"/>
  <c r="H11" i="29"/>
  <c r="G11" i="29"/>
  <c r="F11" i="29"/>
  <c r="O10" i="29"/>
  <c r="E10" i="29"/>
  <c r="O9" i="29"/>
  <c r="E9" i="29"/>
  <c r="O8" i="29"/>
  <c r="E8" i="29"/>
  <c r="O7" i="29"/>
  <c r="E7" i="29"/>
  <c r="O6" i="29"/>
  <c r="E6" i="29"/>
  <c r="O5" i="29"/>
  <c r="E5" i="29"/>
  <c r="O4" i="29"/>
  <c r="E4" i="29"/>
  <c r="O3" i="29"/>
  <c r="E3" i="29"/>
  <c r="O2" i="29"/>
  <c r="E2" i="29"/>
  <c r="E10" i="27"/>
  <c r="E8" i="27"/>
  <c r="E7" i="27"/>
  <c r="E6" i="27"/>
  <c r="E4" i="27"/>
  <c r="E3" i="27"/>
  <c r="E5" i="27"/>
  <c r="E9" i="27"/>
  <c r="E2" i="27"/>
  <c r="L11" i="38" l="1"/>
  <c r="L11" i="43"/>
  <c r="L11" i="35"/>
  <c r="L11" i="29"/>
  <c r="O11" i="29"/>
  <c r="F15" i="26" l="1"/>
  <c r="B15" i="28"/>
  <c r="B16" i="28" s="1"/>
  <c r="B18" i="28" s="1"/>
  <c r="H5" i="28"/>
  <c r="H6" i="28" s="1"/>
  <c r="H8" i="28" s="1"/>
  <c r="H24" i="28"/>
  <c r="H25" i="28" s="1"/>
  <c r="H27" i="28" s="1"/>
  <c r="E24" i="28"/>
  <c r="E25" i="28" s="1"/>
  <c r="E27" i="28" s="1"/>
  <c r="B24" i="28"/>
  <c r="B25" i="28" s="1"/>
  <c r="B27" i="28" s="1"/>
  <c r="H15" i="28"/>
  <c r="H16" i="28" s="1"/>
  <c r="H18" i="28" s="1"/>
  <c r="E15" i="28"/>
  <c r="E16" i="28" s="1"/>
  <c r="E18" i="28" s="1"/>
  <c r="E6" i="28"/>
  <c r="E7" i="28" s="1"/>
  <c r="E9" i="28" s="1"/>
  <c r="B6" i="28"/>
  <c r="B7" i="28" s="1"/>
  <c r="B9" i="28" s="1"/>
  <c r="L8" i="26"/>
  <c r="L9" i="26"/>
  <c r="L10" i="26"/>
  <c r="L11" i="26"/>
  <c r="L12" i="26"/>
  <c r="L13" i="26"/>
  <c r="L14" i="26"/>
  <c r="N11" i="27"/>
  <c r="M11" i="27"/>
  <c r="K11" i="27"/>
  <c r="J11" i="27"/>
  <c r="I11" i="27"/>
  <c r="H11" i="27"/>
  <c r="G11" i="27"/>
  <c r="F11" i="27"/>
  <c r="O10" i="27"/>
  <c r="L10" i="27"/>
  <c r="O9" i="27"/>
  <c r="L9" i="27"/>
  <c r="O8" i="27"/>
  <c r="L8" i="27"/>
  <c r="O7" i="27"/>
  <c r="L7" i="27"/>
  <c r="O6" i="27"/>
  <c r="L6" i="27"/>
  <c r="O5" i="27"/>
  <c r="L5" i="27"/>
  <c r="O4" i="27"/>
  <c r="L4" i="27"/>
  <c r="O3" i="27"/>
  <c r="L3" i="27"/>
  <c r="O2" i="27"/>
  <c r="L2" i="27"/>
  <c r="O11" i="27" l="1"/>
  <c r="L11" i="27"/>
  <c r="O12" i="26" l="1"/>
  <c r="O11" i="26" l="1"/>
  <c r="G15" i="26"/>
  <c r="H15" i="26"/>
  <c r="I15" i="26"/>
  <c r="J15" i="26"/>
  <c r="K15" i="26"/>
  <c r="M15" i="26"/>
  <c r="N15" i="26"/>
  <c r="O10" i="26"/>
  <c r="O13" i="26"/>
  <c r="O14" i="26"/>
  <c r="O8" i="26"/>
  <c r="O7" i="26"/>
  <c r="L7" i="26"/>
  <c r="O6" i="26"/>
  <c r="L6" i="26"/>
  <c r="O5" i="26"/>
  <c r="L5" i="26"/>
  <c r="O4" i="26"/>
  <c r="L4" i="26"/>
  <c r="O3" i="26"/>
  <c r="L3" i="26"/>
  <c r="O2" i="26"/>
  <c r="L2" i="26"/>
  <c r="L15" i="26" s="1"/>
  <c r="O9" i="26"/>
  <c r="N11" i="25"/>
  <c r="M11" i="25"/>
  <c r="K11" i="25"/>
  <c r="J11" i="25"/>
  <c r="I11" i="25"/>
  <c r="G11" i="25"/>
  <c r="H11" i="25"/>
  <c r="F11" i="25"/>
  <c r="O10" i="25"/>
  <c r="L10" i="25"/>
  <c r="O9" i="25"/>
  <c r="L9" i="25"/>
  <c r="O8" i="25"/>
  <c r="L8" i="25"/>
  <c r="O7" i="25"/>
  <c r="L7" i="25"/>
  <c r="O6" i="25"/>
  <c r="L6" i="25"/>
  <c r="O5" i="25"/>
  <c r="L5" i="25"/>
  <c r="O4" i="25"/>
  <c r="L4" i="25"/>
  <c r="O3" i="25"/>
  <c r="L3" i="25"/>
  <c r="O2" i="25"/>
  <c r="L2" i="25"/>
  <c r="O15" i="26" l="1"/>
  <c r="O11" i="25"/>
  <c r="L11" i="25"/>
  <c r="L10" i="24"/>
  <c r="O10" i="24"/>
  <c r="N11" i="24"/>
  <c r="M11" i="24"/>
  <c r="K11" i="24"/>
  <c r="J11" i="24"/>
  <c r="I11" i="24"/>
  <c r="H11" i="24"/>
  <c r="G11" i="24"/>
  <c r="F11" i="24"/>
  <c r="O9" i="24"/>
  <c r="L9" i="24"/>
  <c r="O8" i="24"/>
  <c r="L8" i="24"/>
  <c r="O7" i="24"/>
  <c r="L7" i="24"/>
  <c r="O6" i="24"/>
  <c r="L6" i="24"/>
  <c r="O5" i="24"/>
  <c r="L5" i="24"/>
  <c r="O4" i="24"/>
  <c r="L4" i="24"/>
  <c r="O3" i="24"/>
  <c r="L3" i="24"/>
  <c r="O2" i="24"/>
  <c r="L2" i="24"/>
  <c r="M3" i="3"/>
  <c r="M4" i="3"/>
  <c r="M5" i="3"/>
  <c r="M6" i="3"/>
  <c r="M7" i="3"/>
  <c r="M8" i="3"/>
  <c r="M9" i="3"/>
  <c r="M10" i="3"/>
  <c r="M2" i="3"/>
  <c r="O11" i="24" l="1"/>
  <c r="L11" i="24"/>
  <c r="N11" i="3"/>
  <c r="L11" i="3"/>
  <c r="K11" i="3"/>
  <c r="J11" i="3"/>
  <c r="I11" i="3"/>
  <c r="H11" i="3"/>
  <c r="G11" i="3"/>
  <c r="P10" i="3"/>
  <c r="P9" i="3"/>
  <c r="P8" i="3"/>
  <c r="P7" i="3"/>
  <c r="P6" i="3"/>
  <c r="P5" i="3"/>
  <c r="P4" i="3"/>
  <c r="P3" i="3"/>
  <c r="P2" i="3"/>
  <c r="O11" i="3"/>
  <c r="E15" i="2"/>
  <c r="B6" i="2"/>
  <c r="M11" i="3" l="1"/>
  <c r="P11" i="3"/>
  <c r="H24" i="2"/>
  <c r="H25" i="2" s="1"/>
  <c r="E24" i="2"/>
  <c r="E25" i="2" s="1"/>
  <c r="B24" i="2"/>
  <c r="B25" i="2" s="1"/>
  <c r="H15" i="2"/>
  <c r="H16" i="2" s="1"/>
  <c r="E16" i="2"/>
  <c r="B15" i="2"/>
  <c r="B16" i="2" s="1"/>
  <c r="E6" i="2"/>
  <c r="E7" i="2" s="1"/>
  <c r="H27" i="2" l="1"/>
  <c r="E27" i="2"/>
  <c r="B27" i="2"/>
  <c r="H18" i="2"/>
  <c r="E18" i="2"/>
  <c r="B18" i="2"/>
  <c r="B7" i="2" l="1"/>
  <c r="B9" i="2" s="1"/>
  <c r="E9" i="2"/>
</calcChain>
</file>

<file path=xl/sharedStrings.xml><?xml version="1.0" encoding="utf-8"?>
<sst xmlns="http://schemas.openxmlformats.org/spreadsheetml/2006/main" count="966" uniqueCount="62">
  <si>
    <t>OCHU</t>
  </si>
  <si>
    <t>ROSA</t>
  </si>
  <si>
    <t>SUELDO</t>
  </si>
  <si>
    <t>FERIADO</t>
  </si>
  <si>
    <t>DESC 7</t>
  </si>
  <si>
    <t>TOTAL</t>
  </si>
  <si>
    <t>BANCO</t>
  </si>
  <si>
    <t>EFECTIVO</t>
  </si>
  <si>
    <t>LOLA</t>
  </si>
  <si>
    <t>LULU</t>
  </si>
  <si>
    <t>MELI</t>
  </si>
  <si>
    <t>DAN</t>
  </si>
  <si>
    <t>ORNE</t>
  </si>
  <si>
    <t>GILBERTO</t>
  </si>
  <si>
    <t>DESC 4</t>
  </si>
  <si>
    <t>EMPLEADO</t>
  </si>
  <si>
    <t>CATEGORIA</t>
  </si>
  <si>
    <t>HS</t>
  </si>
  <si>
    <t>VALOR HORA</t>
  </si>
  <si>
    <t>SUELDO TOTAL</t>
  </si>
  <si>
    <t>AGUINALDO</t>
  </si>
  <si>
    <t>RECIBO 1</t>
  </si>
  <si>
    <t>RECIBO 2</t>
  </si>
  <si>
    <t>RECIBO 3</t>
  </si>
  <si>
    <t>DESCUENTO</t>
  </si>
  <si>
    <t>EFE AGUIN</t>
  </si>
  <si>
    <t>ROLDAN MATIAS</t>
  </si>
  <si>
    <t>EMPLEADO A</t>
  </si>
  <si>
    <t>OCHIUZZO LAUTARO</t>
  </si>
  <si>
    <t>GIBORI ROSANNY</t>
  </si>
  <si>
    <t>NUNEZ LEONELA</t>
  </si>
  <si>
    <t>PRINCIPIANTE</t>
  </si>
  <si>
    <t>BOGA LUCIANA</t>
  </si>
  <si>
    <t>AMARILLA MELINA</t>
  </si>
  <si>
    <t>CAMPITELLI DANTE</t>
  </si>
  <si>
    <t>GONZALEZ MIRIAM</t>
  </si>
  <si>
    <t>GERENTE</t>
  </si>
  <si>
    <t>YEBARA ORNELLA</t>
  </si>
  <si>
    <t>4.85</t>
  </si>
  <si>
    <t>ABU</t>
  </si>
  <si>
    <t>NAHI</t>
  </si>
  <si>
    <t>GONZALEZ GILBERTO</t>
  </si>
  <si>
    <t>EMPLEADO B</t>
  </si>
  <si>
    <t>PEREGO CATA</t>
  </si>
  <si>
    <t>CAGNONI NAHIARA</t>
  </si>
  <si>
    <t>PEDROZO ROMINA</t>
  </si>
  <si>
    <t>VILLAREAL NICOLAS</t>
  </si>
  <si>
    <t>OCHIUZZI</t>
  </si>
  <si>
    <t>CAMPITELLI</t>
  </si>
  <si>
    <t>DESC 5</t>
  </si>
  <si>
    <t>DESC 46</t>
  </si>
  <si>
    <t>CATA</t>
  </si>
  <si>
    <t>DESC 1</t>
  </si>
  <si>
    <t>ROMI</t>
  </si>
  <si>
    <t>NICO</t>
  </si>
  <si>
    <t>DESC 25</t>
  </si>
  <si>
    <t>LULI</t>
  </si>
  <si>
    <t>DES 24</t>
  </si>
  <si>
    <t>AGUI</t>
  </si>
  <si>
    <t>DESC</t>
  </si>
  <si>
    <t>EXTRA</t>
  </si>
  <si>
    <t>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</si>
</sst>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2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2" xfId="0" applyBorder="1"/>
    <xf numFmtId="0" fontId="1" fillId="0" borderId="3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64" fontId="0" fillId="0" borderId="3" xfId="1" applyNumberFormat="1" applyFont="1" applyBorder="1" applyAlignment="1"/>
    <xf numFmtId="164" fontId="0" fillId="0" borderId="8" xfId="1" applyNumberFormat="1" applyFont="1" applyBorder="1" applyAlignment="1"/>
    <xf numFmtId="0" fontId="1" fillId="0" borderId="7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"/>
  <sheetViews>
    <sheetView workbookViewId="0">
      <selection sqref="A1:H29"/>
    </sheetView>
  </sheetViews>
  <sheetFormatPr baseColWidth="10" defaultColWidth="11.44140625" defaultRowHeight="14.4" x14ac:dyDescent="0.3"/>
  <cols>
    <col min="1" max="1" width="22.44140625" bestFit="1" customWidth="1"/>
    <col min="2" max="2" width="16.6640625" bestFit="1" customWidth="1"/>
    <col min="3" max="3" width="11.44140625" customWidth="1"/>
    <col min="4" max="4" width="22.44140625" bestFit="1" customWidth="1"/>
    <col min="5" max="5" width="16.6640625" bestFit="1" customWidth="1"/>
    <col min="7" max="7" width="22.44140625" bestFit="1" customWidth="1"/>
    <col min="8" max="8" width="19.88671875" bestFit="1" customWidth="1"/>
  </cols>
  <sheetData>
    <row r="1" spans="1:13" ht="28.8" x14ac:dyDescent="0.55000000000000004">
      <c r="A1" s="24"/>
      <c r="B1" s="25" t="s">
        <v>0</v>
      </c>
      <c r="C1" s="25"/>
      <c r="D1" s="24"/>
      <c r="E1" s="25" t="s">
        <v>1</v>
      </c>
      <c r="H1" s="12"/>
      <c r="I1" s="24"/>
      <c r="J1" s="12"/>
      <c r="M1" s="12"/>
    </row>
    <row r="2" spans="1:13" ht="28.8" x14ac:dyDescent="0.55000000000000004">
      <c r="A2" s="24" t="s">
        <v>2</v>
      </c>
      <c r="B2" s="24">
        <v>466647</v>
      </c>
      <c r="C2" s="25"/>
      <c r="D2" s="24" t="s">
        <v>2</v>
      </c>
      <c r="E2" s="24">
        <v>753245</v>
      </c>
      <c r="H2" s="12"/>
      <c r="I2" s="24"/>
      <c r="J2" s="12"/>
      <c r="L2" s="12"/>
      <c r="M2" s="12"/>
    </row>
    <row r="3" spans="1:13" ht="28.8" x14ac:dyDescent="0.55000000000000004">
      <c r="A3" s="24" t="s">
        <v>3</v>
      </c>
      <c r="B3" s="24">
        <v>18000</v>
      </c>
      <c r="C3" s="24"/>
      <c r="D3" s="24" t="s">
        <v>3</v>
      </c>
      <c r="E3" s="24">
        <v>28980</v>
      </c>
      <c r="H3" s="12"/>
      <c r="I3" s="24"/>
      <c r="J3" s="12"/>
      <c r="L3" s="12"/>
      <c r="M3" s="12"/>
    </row>
    <row r="4" spans="1:13" ht="28.8" x14ac:dyDescent="0.55000000000000004">
      <c r="A4" s="24" t="s">
        <v>4</v>
      </c>
      <c r="B4" s="24">
        <v>-108884</v>
      </c>
      <c r="C4" s="24"/>
      <c r="D4" s="24"/>
      <c r="E4" s="24">
        <v>0</v>
      </c>
      <c r="H4" s="12"/>
      <c r="I4" s="24"/>
      <c r="J4" s="12"/>
      <c r="L4" s="12"/>
      <c r="M4" s="12"/>
    </row>
    <row r="5" spans="1:13" ht="29.4" thickBot="1" x14ac:dyDescent="0.6">
      <c r="A5" s="24"/>
      <c r="B5" s="24"/>
      <c r="C5" s="24"/>
      <c r="D5" s="24"/>
      <c r="E5" s="24"/>
      <c r="H5" s="12"/>
      <c r="I5" s="24"/>
      <c r="J5" s="12"/>
      <c r="L5" s="12"/>
      <c r="M5" s="12"/>
    </row>
    <row r="6" spans="1:13" ht="29.4" thickBot="1" x14ac:dyDescent="0.6">
      <c r="A6" s="34" t="s">
        <v>5</v>
      </c>
      <c r="B6" s="34">
        <f>SUM(B2:B4)</f>
        <v>375763</v>
      </c>
      <c r="C6" s="30"/>
      <c r="D6" s="34" t="s">
        <v>5</v>
      </c>
      <c r="E6" s="34">
        <f>SUM(E2:E4)</f>
        <v>782225</v>
      </c>
      <c r="H6" s="12"/>
      <c r="I6" s="24"/>
      <c r="J6" s="12"/>
      <c r="L6" s="12"/>
      <c r="M6" s="12"/>
    </row>
    <row r="7" spans="1:13" ht="28.8" x14ac:dyDescent="0.55000000000000004">
      <c r="A7" s="28" t="s">
        <v>6</v>
      </c>
      <c r="B7" s="28">
        <f>(B6-B8)</f>
        <v>236630</v>
      </c>
      <c r="C7" s="25"/>
      <c r="D7" s="28" t="s">
        <v>6</v>
      </c>
      <c r="E7" s="28">
        <f>(E6-E8)</f>
        <v>350623</v>
      </c>
      <c r="H7" s="12"/>
      <c r="I7" s="24"/>
      <c r="J7" s="12"/>
      <c r="L7" s="12"/>
      <c r="M7" s="12"/>
    </row>
    <row r="8" spans="1:13" ht="28.8" x14ac:dyDescent="0.55000000000000004">
      <c r="A8" s="28" t="s">
        <v>7</v>
      </c>
      <c r="B8" s="28">
        <v>139133</v>
      </c>
      <c r="C8" s="25"/>
      <c r="D8" s="28" t="s">
        <v>7</v>
      </c>
      <c r="E8" s="28">
        <v>431602</v>
      </c>
      <c r="H8" s="12"/>
      <c r="I8" s="24"/>
      <c r="J8" s="12"/>
      <c r="L8" s="12"/>
      <c r="M8" s="12"/>
    </row>
    <row r="9" spans="1:13" ht="28.8" x14ac:dyDescent="0.55000000000000004">
      <c r="A9" s="25"/>
      <c r="B9" s="29">
        <f>SUM(B7:B8)</f>
        <v>375763</v>
      </c>
      <c r="C9" s="25"/>
      <c r="D9" s="25"/>
      <c r="E9" s="29">
        <f>SUM(E7:E8)</f>
        <v>782225</v>
      </c>
      <c r="H9" s="12"/>
      <c r="I9" s="24"/>
      <c r="J9" s="12"/>
      <c r="L9" s="12"/>
      <c r="M9" s="12"/>
    </row>
    <row r="10" spans="1:13" ht="28.8" x14ac:dyDescent="0.55000000000000004">
      <c r="A10" s="25"/>
      <c r="B10" s="24"/>
      <c r="C10" s="24"/>
      <c r="D10" s="25"/>
      <c r="E10" s="25"/>
      <c r="F10" s="25"/>
      <c r="G10" s="25"/>
      <c r="H10" s="12"/>
      <c r="I10" s="24"/>
      <c r="J10" s="12"/>
      <c r="L10" s="12"/>
      <c r="M10" s="12"/>
    </row>
    <row r="11" spans="1:13" ht="28.8" x14ac:dyDescent="0.55000000000000004">
      <c r="A11" s="24"/>
      <c r="B11" s="25" t="s">
        <v>8</v>
      </c>
      <c r="C11" s="24"/>
      <c r="D11" s="24"/>
      <c r="E11" s="25" t="s">
        <v>9</v>
      </c>
      <c r="F11" s="24"/>
      <c r="G11" s="24"/>
      <c r="H11" s="25" t="s">
        <v>10</v>
      </c>
      <c r="I11" s="24"/>
      <c r="J11" s="12"/>
      <c r="L11" s="12"/>
      <c r="M11" s="12"/>
    </row>
    <row r="12" spans="1:13" ht="28.8" x14ac:dyDescent="0.55000000000000004">
      <c r="A12" s="24" t="s">
        <v>2</v>
      </c>
      <c r="B12" s="24">
        <v>758516</v>
      </c>
      <c r="C12" s="24"/>
      <c r="D12" s="24" t="s">
        <v>2</v>
      </c>
      <c r="E12" s="24">
        <v>872966</v>
      </c>
      <c r="F12" s="25"/>
      <c r="G12" s="24" t="s">
        <v>2</v>
      </c>
      <c r="H12" s="24">
        <v>758516</v>
      </c>
      <c r="I12" s="24"/>
      <c r="J12" s="12"/>
      <c r="K12" s="12"/>
      <c r="L12" s="12"/>
      <c r="M12" s="12"/>
    </row>
    <row r="13" spans="1:13" ht="28.8" x14ac:dyDescent="0.55000000000000004">
      <c r="A13" s="24" t="s">
        <v>3</v>
      </c>
      <c r="B13" s="24"/>
      <c r="C13" s="24"/>
      <c r="D13" s="24" t="s">
        <v>3</v>
      </c>
      <c r="E13" s="24">
        <v>33570</v>
      </c>
      <c r="F13" s="24"/>
      <c r="G13" s="24" t="s">
        <v>3</v>
      </c>
      <c r="H13" s="24"/>
      <c r="I13" s="24"/>
      <c r="K13" s="12"/>
      <c r="L13" s="12"/>
      <c r="M13" s="14"/>
    </row>
    <row r="14" spans="1:13" ht="29.4" thickBot="1" x14ac:dyDescent="0.6">
      <c r="A14" s="24"/>
      <c r="B14" s="24"/>
      <c r="C14" s="24"/>
      <c r="D14" s="24"/>
      <c r="E14" s="24">
        <v>0</v>
      </c>
      <c r="F14" s="24"/>
      <c r="G14" s="24"/>
      <c r="H14" s="24">
        <v>0</v>
      </c>
      <c r="I14" s="24"/>
      <c r="K14" s="12"/>
      <c r="L14" s="12"/>
      <c r="M14" s="14"/>
    </row>
    <row r="15" spans="1:13" ht="29.4" thickBot="1" x14ac:dyDescent="0.6">
      <c r="A15" s="33" t="s">
        <v>5</v>
      </c>
      <c r="B15" s="34">
        <f>SUM(B11:B14)</f>
        <v>758516</v>
      </c>
      <c r="C15" s="31"/>
      <c r="D15" s="34" t="s">
        <v>5</v>
      </c>
      <c r="E15" s="34">
        <f>SUM(E12:E14)</f>
        <v>906536</v>
      </c>
      <c r="F15" s="30"/>
      <c r="G15" s="34" t="s">
        <v>5</v>
      </c>
      <c r="H15" s="32">
        <f>SUM(H12:H14)</f>
        <v>758516</v>
      </c>
      <c r="I15" s="24"/>
      <c r="M15" s="14"/>
    </row>
    <row r="16" spans="1:13" ht="28.8" x14ac:dyDescent="0.55000000000000004">
      <c r="A16" s="28" t="s">
        <v>6</v>
      </c>
      <c r="B16" s="28">
        <f>(B15-B17)</f>
        <v>350623</v>
      </c>
      <c r="C16" s="24"/>
      <c r="D16" s="28" t="s">
        <v>6</v>
      </c>
      <c r="E16" s="28">
        <f>(E15-E17)</f>
        <v>350623</v>
      </c>
      <c r="F16" s="25"/>
      <c r="G16" s="28" t="s">
        <v>6</v>
      </c>
      <c r="H16" s="28">
        <f>(H15-H17)</f>
        <v>350623</v>
      </c>
      <c r="I16" s="24"/>
      <c r="M16" s="12"/>
    </row>
    <row r="17" spans="1:13" ht="28.8" x14ac:dyDescent="0.55000000000000004">
      <c r="A17" s="28" t="s">
        <v>7</v>
      </c>
      <c r="B17" s="28">
        <v>407893</v>
      </c>
      <c r="C17" s="24"/>
      <c r="D17" s="28" t="s">
        <v>7</v>
      </c>
      <c r="E17" s="28">
        <v>555913</v>
      </c>
      <c r="F17" s="25"/>
      <c r="G17" s="28" t="s">
        <v>7</v>
      </c>
      <c r="H17" s="28">
        <v>407893</v>
      </c>
      <c r="I17" s="24"/>
      <c r="M17" s="12"/>
    </row>
    <row r="18" spans="1:13" ht="28.8" x14ac:dyDescent="0.55000000000000004">
      <c r="A18" s="25"/>
      <c r="B18" s="29">
        <f>SUM(B16:B17)</f>
        <v>758516</v>
      </c>
      <c r="C18" s="24"/>
      <c r="D18" s="25"/>
      <c r="E18" s="29">
        <f>SUM(E16:E17)</f>
        <v>906536</v>
      </c>
      <c r="F18" s="25"/>
      <c r="G18" s="25"/>
      <c r="H18" s="29">
        <f>SUM(H16:H17)</f>
        <v>758516</v>
      </c>
      <c r="I18" s="24"/>
      <c r="M18" s="12"/>
    </row>
    <row r="19" spans="1:13" ht="28.8" x14ac:dyDescent="0.55000000000000004">
      <c r="A19" s="25"/>
      <c r="B19" s="29"/>
      <c r="C19" s="24"/>
      <c r="D19" s="25"/>
      <c r="E19" s="29"/>
      <c r="F19" s="25"/>
      <c r="G19" s="25"/>
      <c r="H19" s="29"/>
      <c r="I19" s="24"/>
      <c r="M19" s="12"/>
    </row>
    <row r="20" spans="1:13" ht="28.8" x14ac:dyDescent="0.55000000000000004">
      <c r="A20" s="24"/>
      <c r="B20" s="25" t="s">
        <v>11</v>
      </c>
      <c r="C20" s="24"/>
      <c r="D20" s="24"/>
      <c r="E20" s="25" t="s">
        <v>12</v>
      </c>
      <c r="F20" s="25"/>
      <c r="G20" s="24"/>
      <c r="H20" s="25" t="s">
        <v>13</v>
      </c>
      <c r="I20" s="24"/>
      <c r="M20" s="12"/>
    </row>
    <row r="21" spans="1:13" ht="28.8" x14ac:dyDescent="0.55000000000000004">
      <c r="A21" s="24" t="s">
        <v>2</v>
      </c>
      <c r="B21" s="24">
        <v>422418</v>
      </c>
      <c r="C21" s="24"/>
      <c r="D21" s="24" t="s">
        <v>2</v>
      </c>
      <c r="E21" s="24">
        <v>422418</v>
      </c>
      <c r="F21" s="25"/>
      <c r="G21" s="24" t="s">
        <v>2</v>
      </c>
      <c r="H21" s="24">
        <v>732000</v>
      </c>
      <c r="I21" s="24"/>
      <c r="K21" s="23"/>
      <c r="M21" s="12"/>
    </row>
    <row r="22" spans="1:13" ht="28.8" x14ac:dyDescent="0.55000000000000004">
      <c r="A22" s="24" t="s">
        <v>3</v>
      </c>
      <c r="B22" s="24">
        <v>16250</v>
      </c>
      <c r="C22" s="24"/>
      <c r="D22" s="24" t="s">
        <v>3</v>
      </c>
      <c r="E22" s="24">
        <v>16250</v>
      </c>
      <c r="F22" s="25"/>
      <c r="G22" s="24" t="s">
        <v>3</v>
      </c>
      <c r="H22" s="24"/>
      <c r="I22" s="24"/>
      <c r="M22" s="12"/>
    </row>
    <row r="23" spans="1:13" ht="29.4" thickBot="1" x14ac:dyDescent="0.6">
      <c r="A23" s="24"/>
      <c r="B23" s="24">
        <v>0</v>
      </c>
      <c r="C23" s="24"/>
      <c r="D23" s="24"/>
      <c r="E23" s="24">
        <v>0</v>
      </c>
      <c r="F23" s="25"/>
      <c r="G23" s="24" t="s">
        <v>14</v>
      </c>
      <c r="H23" s="24">
        <v>-97600</v>
      </c>
      <c r="I23" s="24"/>
      <c r="M23" s="12"/>
    </row>
    <row r="24" spans="1:13" ht="29.4" thickBot="1" x14ac:dyDescent="0.6">
      <c r="A24" s="33" t="s">
        <v>5</v>
      </c>
      <c r="B24" s="34">
        <f>SUM(B21:B23)</f>
        <v>438668</v>
      </c>
      <c r="C24" s="31"/>
      <c r="D24" s="34" t="s">
        <v>5</v>
      </c>
      <c r="E24" s="35">
        <f>SUM(E21:E23)</f>
        <v>438668</v>
      </c>
      <c r="F24" s="25"/>
      <c r="G24" s="34" t="s">
        <v>5</v>
      </c>
      <c r="H24" s="35">
        <f>SUM(H21:H23)</f>
        <v>634400</v>
      </c>
      <c r="I24" s="24"/>
      <c r="M24" s="12"/>
    </row>
    <row r="25" spans="1:13" ht="28.8" x14ac:dyDescent="0.55000000000000004">
      <c r="A25" s="28" t="s">
        <v>6</v>
      </c>
      <c r="B25" s="28">
        <f>(B24-B26)</f>
        <v>297698</v>
      </c>
      <c r="C25" s="24"/>
      <c r="D25" s="28" t="s">
        <v>6</v>
      </c>
      <c r="E25" s="28">
        <f>(E24-E26)</f>
        <v>277483</v>
      </c>
      <c r="F25" s="25"/>
      <c r="G25" s="28" t="s">
        <v>6</v>
      </c>
      <c r="H25" s="28">
        <f>(H24-H26)</f>
        <v>0</v>
      </c>
      <c r="I25" s="24"/>
    </row>
    <row r="26" spans="1:13" ht="28.8" x14ac:dyDescent="0.55000000000000004">
      <c r="A26" s="28" t="s">
        <v>7</v>
      </c>
      <c r="B26" s="28">
        <v>140970</v>
      </c>
      <c r="C26" s="24"/>
      <c r="D26" s="28" t="s">
        <v>7</v>
      </c>
      <c r="E26" s="28">
        <v>161185</v>
      </c>
      <c r="F26" s="24"/>
      <c r="G26" s="28" t="s">
        <v>7</v>
      </c>
      <c r="H26" s="28">
        <v>634400</v>
      </c>
      <c r="I26" s="24"/>
    </row>
    <row r="27" spans="1:13" ht="28.8" x14ac:dyDescent="0.55000000000000004">
      <c r="A27" s="25"/>
      <c r="B27" s="29">
        <f>SUM(B25:B26)</f>
        <v>438668</v>
      </c>
      <c r="C27" s="24"/>
      <c r="D27" s="25"/>
      <c r="E27" s="29">
        <f>SUM(E25:E26)</f>
        <v>438668</v>
      </c>
      <c r="F27" s="24"/>
      <c r="G27" s="25"/>
      <c r="H27" s="29">
        <f>SUM(H25:H26)</f>
        <v>634400</v>
      </c>
      <c r="I27" s="24"/>
    </row>
    <row r="28" spans="1:13" ht="28.8" x14ac:dyDescent="0.55000000000000004">
      <c r="A28" s="24"/>
      <c r="B28" s="24"/>
      <c r="C28" s="24"/>
      <c r="D28" s="24"/>
      <c r="E28" s="24"/>
      <c r="F28" s="24"/>
      <c r="G28" s="24"/>
      <c r="H28" s="24"/>
      <c r="I28" s="24"/>
    </row>
    <row r="29" spans="1:13" ht="28.8" x14ac:dyDescent="0.55000000000000004">
      <c r="A29" s="26"/>
      <c r="B29" s="26"/>
      <c r="C29" s="26"/>
      <c r="D29" s="26"/>
      <c r="E29" s="26"/>
      <c r="F29" s="26"/>
      <c r="G29" s="26"/>
      <c r="H29" s="26"/>
      <c r="I29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0987-9426-4F33-AF51-2B25A445F445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8554-A83A-4094-9468-96E334B617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topLeftCell="B1" zoomScale="90" zoomScaleNormal="90" workbookViewId="0">
      <selection activeCell="F16" sqref="F16"/>
    </sheetView>
  </sheetViews>
  <sheetFormatPr baseColWidth="10" defaultColWidth="11.44140625" defaultRowHeight="14.4" x14ac:dyDescent="0.3"/>
  <cols>
    <col min="1" max="1" width="3.88671875" customWidth="1"/>
    <col min="2" max="2" width="2.109375" bestFit="1" customWidth="1"/>
    <col min="4" max="4" width="6.88671875" customWidth="1"/>
    <col min="5" max="5" width="6.44140625" customWidth="1"/>
  </cols>
  <sheetData>
    <row r="1" spans="1:16" ht="15" thickBot="1" x14ac:dyDescent="0.35">
      <c r="C1" s="7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9" t="s">
        <v>20</v>
      </c>
      <c r="I1" s="8" t="s">
        <v>3</v>
      </c>
      <c r="J1" s="8" t="s">
        <v>21</v>
      </c>
      <c r="K1" s="8" t="s">
        <v>22</v>
      </c>
      <c r="L1" s="8" t="s">
        <v>23</v>
      </c>
      <c r="M1" s="8" t="s">
        <v>7</v>
      </c>
      <c r="N1" s="9" t="s">
        <v>24</v>
      </c>
      <c r="O1" s="13" t="s">
        <v>25</v>
      </c>
      <c r="P1" s="10" t="s">
        <v>5</v>
      </c>
    </row>
    <row r="2" spans="1:16" ht="15" thickBot="1" x14ac:dyDescent="0.35">
      <c r="A2" s="17">
        <v>1</v>
      </c>
      <c r="B2" s="17">
        <v>1</v>
      </c>
      <c r="C2" s="15" t="s">
        <v>26</v>
      </c>
      <c r="D2" s="2" t="s">
        <v>27</v>
      </c>
      <c r="E2" s="2">
        <v>9</v>
      </c>
      <c r="F2" s="2">
        <v>3340</v>
      </c>
      <c r="G2" s="36">
        <v>855004</v>
      </c>
      <c r="H2" s="38">
        <v>0</v>
      </c>
      <c r="I2" s="39">
        <v>29700</v>
      </c>
      <c r="J2" s="2">
        <v>161480</v>
      </c>
      <c r="K2" s="2">
        <v>173902</v>
      </c>
      <c r="L2" s="37">
        <v>49687</v>
      </c>
      <c r="M2" s="6">
        <f>G2+I2-J2-K2-L2-N2</f>
        <v>499635</v>
      </c>
      <c r="N2" s="4">
        <v>0</v>
      </c>
      <c r="O2" s="37">
        <v>0</v>
      </c>
      <c r="P2" s="11">
        <f>SUM(G2+I2+H2-N2)</f>
        <v>884704</v>
      </c>
    </row>
    <row r="3" spans="1:16" ht="15" thickBot="1" x14ac:dyDescent="0.35">
      <c r="A3" s="18">
        <v>2</v>
      </c>
      <c r="B3" s="18">
        <v>2</v>
      </c>
      <c r="C3" s="15" t="s">
        <v>28</v>
      </c>
      <c r="D3" s="1" t="s">
        <v>27</v>
      </c>
      <c r="E3" s="1">
        <v>5</v>
      </c>
      <c r="F3" s="2">
        <v>3215</v>
      </c>
      <c r="G3" s="36">
        <v>457045</v>
      </c>
      <c r="H3" s="38">
        <v>0</v>
      </c>
      <c r="I3" s="39">
        <v>16500</v>
      </c>
      <c r="J3" s="2">
        <v>161480</v>
      </c>
      <c r="K3" s="2">
        <v>173902</v>
      </c>
      <c r="L3" s="37">
        <v>34641</v>
      </c>
      <c r="M3" s="6">
        <f t="shared" ref="M3:M10" si="0">G3+I3-J3-K3-L3-N3</f>
        <v>103522</v>
      </c>
      <c r="N3" s="5">
        <v>0</v>
      </c>
      <c r="O3" s="37">
        <v>0</v>
      </c>
      <c r="P3" s="11">
        <f t="shared" ref="P3:P10" si="1">SUM(G3+I3+H3-N3)</f>
        <v>473545</v>
      </c>
    </row>
    <row r="4" spans="1:16" ht="15" thickBot="1" x14ac:dyDescent="0.35">
      <c r="A4" s="18">
        <v>3</v>
      </c>
      <c r="B4" s="18">
        <v>3</v>
      </c>
      <c r="C4" s="15" t="s">
        <v>29</v>
      </c>
      <c r="D4" s="1" t="s">
        <v>27</v>
      </c>
      <c r="E4" s="1">
        <v>7</v>
      </c>
      <c r="F4" s="2">
        <v>3707</v>
      </c>
      <c r="G4" s="36">
        <v>737747</v>
      </c>
      <c r="H4" s="38">
        <v>0</v>
      </c>
      <c r="I4" s="39">
        <v>25900</v>
      </c>
      <c r="J4" s="2">
        <v>161480</v>
      </c>
      <c r="K4" s="2">
        <v>173902</v>
      </c>
      <c r="L4" s="37">
        <v>49687</v>
      </c>
      <c r="M4" s="6">
        <f t="shared" si="0"/>
        <v>378578</v>
      </c>
      <c r="N4" s="5">
        <v>0</v>
      </c>
      <c r="O4" s="37">
        <v>0</v>
      </c>
      <c r="P4" s="11">
        <f t="shared" si="1"/>
        <v>763647</v>
      </c>
    </row>
    <row r="5" spans="1:16" ht="15" thickBot="1" x14ac:dyDescent="0.35">
      <c r="A5" s="18">
        <v>4</v>
      </c>
      <c r="B5" s="18">
        <v>4</v>
      </c>
      <c r="C5" s="15" t="s">
        <v>30</v>
      </c>
      <c r="D5" s="1" t="s">
        <v>31</v>
      </c>
      <c r="E5" s="1">
        <v>8</v>
      </c>
      <c r="F5" s="2">
        <v>2903</v>
      </c>
      <c r="G5" s="36">
        <v>742908</v>
      </c>
      <c r="H5" s="38">
        <v>0</v>
      </c>
      <c r="I5" s="39">
        <v>26100</v>
      </c>
      <c r="J5" s="2">
        <v>161480</v>
      </c>
      <c r="K5" s="2">
        <v>173902</v>
      </c>
      <c r="L5" s="37">
        <v>49687</v>
      </c>
      <c r="M5" s="6">
        <f t="shared" si="0"/>
        <v>383939</v>
      </c>
      <c r="N5" s="5">
        <v>0</v>
      </c>
      <c r="O5" s="37">
        <v>0</v>
      </c>
      <c r="P5" s="11">
        <f t="shared" si="1"/>
        <v>769008</v>
      </c>
    </row>
    <row r="6" spans="1:16" ht="15" thickBot="1" x14ac:dyDescent="0.35">
      <c r="A6" s="18">
        <v>5</v>
      </c>
      <c r="B6" s="18">
        <v>5</v>
      </c>
      <c r="C6" s="16" t="s">
        <v>32</v>
      </c>
      <c r="D6" s="1" t="s">
        <v>31</v>
      </c>
      <c r="E6" s="1">
        <v>7.66</v>
      </c>
      <c r="F6" s="2">
        <v>2917</v>
      </c>
      <c r="G6" s="36">
        <v>742908</v>
      </c>
      <c r="H6" s="38">
        <v>0</v>
      </c>
      <c r="I6" s="39">
        <v>26100</v>
      </c>
      <c r="J6" s="2">
        <v>161480</v>
      </c>
      <c r="K6" s="2">
        <v>173902</v>
      </c>
      <c r="L6" s="37">
        <v>49687</v>
      </c>
      <c r="M6" s="6">
        <f t="shared" si="0"/>
        <v>383939</v>
      </c>
      <c r="N6" s="5">
        <v>0</v>
      </c>
      <c r="O6" s="37">
        <v>0</v>
      </c>
      <c r="P6" s="11">
        <f t="shared" si="1"/>
        <v>769008</v>
      </c>
    </row>
    <row r="7" spans="1:16" ht="15" thickBot="1" x14ac:dyDescent="0.35">
      <c r="A7" s="18">
        <v>6</v>
      </c>
      <c r="B7" s="18">
        <v>6</v>
      </c>
      <c r="C7" s="1" t="s">
        <v>33</v>
      </c>
      <c r="D7" s="1" t="s">
        <v>31</v>
      </c>
      <c r="E7" s="1">
        <v>7</v>
      </c>
      <c r="F7" s="2">
        <v>3733</v>
      </c>
      <c r="G7" s="36">
        <v>742908</v>
      </c>
      <c r="H7" s="38">
        <v>0</v>
      </c>
      <c r="I7" s="39">
        <v>25900</v>
      </c>
      <c r="J7" s="2">
        <v>161480</v>
      </c>
      <c r="K7" s="2">
        <v>173902</v>
      </c>
      <c r="L7" s="37">
        <v>49687</v>
      </c>
      <c r="M7" s="6">
        <f t="shared" si="0"/>
        <v>383739</v>
      </c>
      <c r="N7" s="5">
        <v>0</v>
      </c>
      <c r="O7" s="37">
        <v>0</v>
      </c>
      <c r="P7" s="11">
        <f t="shared" si="1"/>
        <v>768808</v>
      </c>
    </row>
    <row r="8" spans="1:16" ht="15" thickBot="1" x14ac:dyDescent="0.35">
      <c r="A8" s="18">
        <v>7</v>
      </c>
      <c r="B8" s="18">
        <v>7</v>
      </c>
      <c r="C8" s="1" t="s">
        <v>34</v>
      </c>
      <c r="D8" s="1" t="s">
        <v>31</v>
      </c>
      <c r="E8" s="1">
        <v>5</v>
      </c>
      <c r="F8" s="2">
        <v>2910</v>
      </c>
      <c r="G8" s="36">
        <v>413726</v>
      </c>
      <c r="H8" s="38">
        <v>0</v>
      </c>
      <c r="I8" s="39">
        <v>14500</v>
      </c>
      <c r="J8" s="2">
        <v>161480</v>
      </c>
      <c r="K8" s="2">
        <v>173902</v>
      </c>
      <c r="L8" s="37">
        <v>34641</v>
      </c>
      <c r="M8" s="6">
        <f t="shared" si="0"/>
        <v>58203</v>
      </c>
      <c r="N8" s="5">
        <v>0</v>
      </c>
      <c r="O8" s="37">
        <v>0</v>
      </c>
      <c r="P8" s="11">
        <f t="shared" si="1"/>
        <v>428226</v>
      </c>
    </row>
    <row r="9" spans="1:16" ht="15" thickBot="1" x14ac:dyDescent="0.35">
      <c r="A9" s="18">
        <v>8</v>
      </c>
      <c r="B9" s="18">
        <v>8</v>
      </c>
      <c r="C9" s="1" t="s">
        <v>35</v>
      </c>
      <c r="D9" s="3" t="s">
        <v>36</v>
      </c>
      <c r="E9" s="3">
        <v>9</v>
      </c>
      <c r="F9" s="2">
        <v>7459</v>
      </c>
      <c r="G9" s="36">
        <v>1911246</v>
      </c>
      <c r="H9" s="38">
        <v>0</v>
      </c>
      <c r="I9" s="39">
        <v>67130</v>
      </c>
      <c r="J9" s="2">
        <v>0</v>
      </c>
      <c r="K9" s="2">
        <v>1000000</v>
      </c>
      <c r="L9" s="37">
        <v>533333</v>
      </c>
      <c r="M9" s="6">
        <f t="shared" si="0"/>
        <v>445043</v>
      </c>
      <c r="N9" s="5">
        <v>0</v>
      </c>
      <c r="O9" s="37">
        <v>0</v>
      </c>
      <c r="P9" s="11">
        <f t="shared" si="1"/>
        <v>1978376</v>
      </c>
    </row>
    <row r="10" spans="1:16" ht="15" thickBot="1" x14ac:dyDescent="0.35">
      <c r="A10" s="18">
        <v>9</v>
      </c>
      <c r="B10" s="20">
        <v>9</v>
      </c>
      <c r="C10" s="1" t="s">
        <v>37</v>
      </c>
      <c r="D10" s="1" t="s">
        <v>31</v>
      </c>
      <c r="E10" s="1" t="s">
        <v>38</v>
      </c>
      <c r="F10" s="1">
        <v>2903</v>
      </c>
      <c r="G10" s="36">
        <v>413726</v>
      </c>
      <c r="H10" s="38">
        <v>0</v>
      </c>
      <c r="I10" s="39">
        <v>14500</v>
      </c>
      <c r="J10" s="2">
        <v>145350</v>
      </c>
      <c r="K10" s="2">
        <v>156531</v>
      </c>
      <c r="L10" s="37">
        <v>31181</v>
      </c>
      <c r="M10" s="6">
        <f t="shared" si="0"/>
        <v>95164</v>
      </c>
      <c r="N10" s="5">
        <v>0</v>
      </c>
      <c r="O10" s="37">
        <v>0</v>
      </c>
      <c r="P10" s="11">
        <f t="shared" si="1"/>
        <v>428226</v>
      </c>
    </row>
    <row r="11" spans="1:16" ht="15" thickBot="1" x14ac:dyDescent="0.35">
      <c r="A11" s="19">
        <v>10</v>
      </c>
      <c r="C11" s="21" t="s">
        <v>5</v>
      </c>
      <c r="D11" s="22"/>
      <c r="E11" s="22"/>
      <c r="F11" s="22"/>
      <c r="G11" s="22">
        <f>SUM(G2:G10)</f>
        <v>7017218</v>
      </c>
      <c r="H11" s="27">
        <f t="shared" ref="H11" si="2">SUM(H2:H10)</f>
        <v>0</v>
      </c>
      <c r="I11" s="22">
        <f>SUM(I2:I10)</f>
        <v>246330</v>
      </c>
      <c r="J11" s="22">
        <f t="shared" ref="J11:N11" si="3">SUM(J2:J10)</f>
        <v>1275710</v>
      </c>
      <c r="K11" s="22">
        <f t="shared" si="3"/>
        <v>2373845</v>
      </c>
      <c r="L11" s="22">
        <f>SUM(L2:L10)</f>
        <v>882231</v>
      </c>
      <c r="M11" s="22">
        <f>SUM(M2:M10)</f>
        <v>2731762</v>
      </c>
      <c r="N11" s="22">
        <f t="shared" si="3"/>
        <v>0</v>
      </c>
      <c r="O11" s="27">
        <f>SUM(O2:O10)</f>
        <v>0</v>
      </c>
      <c r="P11" s="40">
        <f>SUM(P2:P10)</f>
        <v>7263548</v>
      </c>
    </row>
    <row r="12" spans="1:16" ht="15" thickBot="1" x14ac:dyDescent="0.35">
      <c r="A12" s="20">
        <v>11</v>
      </c>
      <c r="C12" s="41" t="s">
        <v>39</v>
      </c>
      <c r="H12" s="42"/>
      <c r="I12" s="43">
        <v>14500</v>
      </c>
    </row>
    <row r="13" spans="1:16" x14ac:dyDescent="0.3">
      <c r="C13" s="41" t="s">
        <v>40</v>
      </c>
      <c r="H13" s="42"/>
      <c r="I13" s="43">
        <v>11600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23A9-2DE5-491E-8124-39EEF246F2B4}">
  <dimension ref="A1:O11"/>
  <sheetViews>
    <sheetView workbookViewId="0">
      <selection activeCell="F2" sqref="F2"/>
    </sheetView>
  </sheetViews>
  <sheetFormatPr baseColWidth="10" defaultColWidth="11.44140625" defaultRowHeight="14.4" x14ac:dyDescent="0.3"/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8" t="s">
        <v>23</v>
      </c>
      <c r="L1" s="8" t="s">
        <v>7</v>
      </c>
      <c r="M1" s="9" t="s">
        <v>24</v>
      </c>
      <c r="N1" s="13" t="s">
        <v>25</v>
      </c>
      <c r="O1" s="10" t="s">
        <v>5</v>
      </c>
    </row>
    <row r="2" spans="1:15" ht="15" thickBot="1" x14ac:dyDescent="0.35">
      <c r="A2" s="17">
        <v>1</v>
      </c>
      <c r="B2" s="15" t="s">
        <v>28</v>
      </c>
      <c r="C2" s="1" t="s">
        <v>27</v>
      </c>
      <c r="D2" s="1">
        <v>5</v>
      </c>
      <c r="E2" s="2">
        <v>3463</v>
      </c>
      <c r="F2" s="36">
        <v>450301</v>
      </c>
      <c r="G2" s="38">
        <v>0</v>
      </c>
      <c r="H2" s="39">
        <v>0</v>
      </c>
      <c r="I2" s="2">
        <v>171915</v>
      </c>
      <c r="J2" s="2">
        <v>101884</v>
      </c>
      <c r="K2" s="37">
        <v>0</v>
      </c>
      <c r="L2" s="6">
        <f t="shared" ref="L2:L9" si="0">F2+H2-I2-J2-K2-M2</f>
        <v>176502</v>
      </c>
      <c r="M2" s="5">
        <v>0</v>
      </c>
      <c r="N2" s="37">
        <v>0</v>
      </c>
      <c r="O2" s="11">
        <f t="shared" ref="O2:O9" si="1">SUM(F2+H2+G2-M2)</f>
        <v>450301</v>
      </c>
    </row>
    <row r="3" spans="1:15" ht="15" thickBot="1" x14ac:dyDescent="0.35">
      <c r="A3" s="18">
        <v>2</v>
      </c>
      <c r="B3" s="15" t="s">
        <v>29</v>
      </c>
      <c r="C3" s="1" t="s">
        <v>27</v>
      </c>
      <c r="D3" s="1">
        <v>7</v>
      </c>
      <c r="E3" s="2">
        <v>3994</v>
      </c>
      <c r="F3" s="36">
        <v>726860</v>
      </c>
      <c r="G3" s="38">
        <v>0</v>
      </c>
      <c r="H3" s="39">
        <v>0</v>
      </c>
      <c r="I3" s="2">
        <v>171915</v>
      </c>
      <c r="J3" s="2">
        <v>145467</v>
      </c>
      <c r="K3" s="37">
        <v>0</v>
      </c>
      <c r="L3" s="6">
        <f t="shared" si="0"/>
        <v>409478</v>
      </c>
      <c r="M3" s="5">
        <v>0</v>
      </c>
      <c r="N3" s="37">
        <v>0</v>
      </c>
      <c r="O3" s="11">
        <f t="shared" si="1"/>
        <v>726860</v>
      </c>
    </row>
    <row r="4" spans="1:15" ht="15" thickBot="1" x14ac:dyDescent="0.35">
      <c r="A4" s="18">
        <v>3</v>
      </c>
      <c r="B4" s="15" t="s">
        <v>30</v>
      </c>
      <c r="C4" s="1" t="s">
        <v>31</v>
      </c>
      <c r="D4" s="1">
        <v>9</v>
      </c>
      <c r="E4" s="2">
        <v>3128</v>
      </c>
      <c r="F4" s="36">
        <v>731946</v>
      </c>
      <c r="G4" s="38">
        <v>0</v>
      </c>
      <c r="H4" s="39">
        <v>0</v>
      </c>
      <c r="I4" s="2">
        <v>171915</v>
      </c>
      <c r="J4" s="2">
        <v>145467</v>
      </c>
      <c r="K4" s="37">
        <v>0</v>
      </c>
      <c r="L4" s="6">
        <f t="shared" si="0"/>
        <v>414564</v>
      </c>
      <c r="M4" s="5">
        <v>0</v>
      </c>
      <c r="N4" s="37">
        <v>0</v>
      </c>
      <c r="O4" s="11">
        <f t="shared" si="1"/>
        <v>731946</v>
      </c>
    </row>
    <row r="5" spans="1:15" ht="15" thickBot="1" x14ac:dyDescent="0.35">
      <c r="A5" s="18">
        <v>4</v>
      </c>
      <c r="B5" s="16" t="s">
        <v>32</v>
      </c>
      <c r="C5" s="1" t="s">
        <v>31</v>
      </c>
      <c r="D5" s="1">
        <v>9</v>
      </c>
      <c r="E5" s="2">
        <v>3600</v>
      </c>
      <c r="F5" s="36">
        <v>842388</v>
      </c>
      <c r="G5" s="38">
        <v>0</v>
      </c>
      <c r="H5" s="39">
        <v>0</v>
      </c>
      <c r="I5" s="2">
        <v>171915</v>
      </c>
      <c r="J5" s="2">
        <v>145467</v>
      </c>
      <c r="K5" s="37">
        <v>0</v>
      </c>
      <c r="L5" s="6">
        <f t="shared" si="0"/>
        <v>525006</v>
      </c>
      <c r="M5" s="5">
        <v>0</v>
      </c>
      <c r="N5" s="37">
        <v>0</v>
      </c>
      <c r="O5" s="11">
        <f t="shared" si="1"/>
        <v>842388</v>
      </c>
    </row>
    <row r="6" spans="1:15" ht="15" thickBot="1" x14ac:dyDescent="0.35">
      <c r="A6" s="18">
        <v>5</v>
      </c>
      <c r="B6" s="1" t="s">
        <v>33</v>
      </c>
      <c r="C6" s="1" t="s">
        <v>31</v>
      </c>
      <c r="D6" s="1">
        <v>7</v>
      </c>
      <c r="E6" s="2">
        <v>3994</v>
      </c>
      <c r="F6" s="36">
        <v>731946</v>
      </c>
      <c r="G6" s="38">
        <v>0</v>
      </c>
      <c r="H6" s="39">
        <v>0</v>
      </c>
      <c r="I6" s="2">
        <v>171915</v>
      </c>
      <c r="J6" s="2">
        <v>145467</v>
      </c>
      <c r="K6" s="37">
        <v>0</v>
      </c>
      <c r="L6" s="6">
        <f t="shared" si="0"/>
        <v>414564</v>
      </c>
      <c r="M6" s="5">
        <v>0</v>
      </c>
      <c r="N6" s="37">
        <v>0</v>
      </c>
      <c r="O6" s="11">
        <f t="shared" si="1"/>
        <v>731946</v>
      </c>
    </row>
    <row r="7" spans="1:15" ht="15" thickBot="1" x14ac:dyDescent="0.35">
      <c r="A7" s="18">
        <v>6</v>
      </c>
      <c r="B7" s="1" t="s">
        <v>34</v>
      </c>
      <c r="C7" s="1" t="s">
        <v>31</v>
      </c>
      <c r="D7" s="1">
        <v>5</v>
      </c>
      <c r="E7" s="2">
        <v>3135</v>
      </c>
      <c r="F7" s="36">
        <v>407621</v>
      </c>
      <c r="G7" s="38">
        <v>0</v>
      </c>
      <c r="H7" s="39">
        <v>0</v>
      </c>
      <c r="I7" s="2">
        <v>171915</v>
      </c>
      <c r="J7" s="2">
        <v>101884</v>
      </c>
      <c r="K7" s="37">
        <v>0</v>
      </c>
      <c r="L7" s="6">
        <f t="shared" si="0"/>
        <v>133822</v>
      </c>
      <c r="M7" s="5">
        <v>0</v>
      </c>
      <c r="N7" s="37">
        <v>0</v>
      </c>
      <c r="O7" s="11">
        <f t="shared" si="1"/>
        <v>407621</v>
      </c>
    </row>
    <row r="8" spans="1:15" ht="15" thickBot="1" x14ac:dyDescent="0.35">
      <c r="A8" s="18">
        <v>7</v>
      </c>
      <c r="B8" s="1" t="s">
        <v>35</v>
      </c>
      <c r="C8" s="3" t="s">
        <v>36</v>
      </c>
      <c r="D8" s="3">
        <v>9</v>
      </c>
      <c r="E8" s="2">
        <v>8800</v>
      </c>
      <c r="F8" s="36">
        <v>2058794</v>
      </c>
      <c r="G8" s="38">
        <v>0</v>
      </c>
      <c r="H8" s="39">
        <v>0</v>
      </c>
      <c r="I8" s="2">
        <v>0</v>
      </c>
      <c r="J8" s="2">
        <v>1000000</v>
      </c>
      <c r="K8" s="37">
        <v>0</v>
      </c>
      <c r="L8" s="6">
        <f t="shared" si="0"/>
        <v>1058794</v>
      </c>
      <c r="M8" s="5">
        <v>0</v>
      </c>
      <c r="N8" s="37">
        <v>0</v>
      </c>
      <c r="O8" s="11">
        <f t="shared" si="1"/>
        <v>2058794</v>
      </c>
    </row>
    <row r="9" spans="1:15" ht="15" thickBot="1" x14ac:dyDescent="0.35">
      <c r="A9" s="18">
        <v>8</v>
      </c>
      <c r="B9" s="1" t="s">
        <v>37</v>
      </c>
      <c r="C9" s="1" t="s">
        <v>31</v>
      </c>
      <c r="D9" s="1">
        <v>5</v>
      </c>
      <c r="E9" s="1">
        <v>3135</v>
      </c>
      <c r="F9" s="36">
        <v>407621</v>
      </c>
      <c r="G9" s="38">
        <v>0</v>
      </c>
      <c r="H9" s="39">
        <v>0</v>
      </c>
      <c r="I9" s="2">
        <v>164636</v>
      </c>
      <c r="J9" s="2">
        <v>97570</v>
      </c>
      <c r="K9" s="37">
        <v>0</v>
      </c>
      <c r="L9" s="6">
        <f t="shared" si="0"/>
        <v>145415</v>
      </c>
      <c r="M9" s="5">
        <v>0</v>
      </c>
      <c r="N9" s="37">
        <v>0</v>
      </c>
      <c r="O9" s="11">
        <f t="shared" si="1"/>
        <v>407621</v>
      </c>
    </row>
    <row r="10" spans="1:15" ht="15" thickBot="1" x14ac:dyDescent="0.35">
      <c r="A10" s="20">
        <v>9</v>
      </c>
      <c r="B10" s="1"/>
      <c r="C10" s="1"/>
      <c r="D10" s="1"/>
      <c r="E10" s="1"/>
      <c r="F10" s="36"/>
      <c r="G10" s="38">
        <v>0</v>
      </c>
      <c r="H10" s="39"/>
      <c r="I10" s="2"/>
      <c r="J10" s="2"/>
      <c r="K10" s="37"/>
      <c r="L10" s="6">
        <f t="shared" ref="L10" si="2">F10+H10-I10-J10-K10-M10</f>
        <v>0</v>
      </c>
      <c r="M10" s="5">
        <v>0</v>
      </c>
      <c r="N10" s="37">
        <v>0</v>
      </c>
      <c r="O10" s="11">
        <f t="shared" ref="O10" si="3">SUM(F10+H10+G10-M10)</f>
        <v>0</v>
      </c>
    </row>
    <row r="11" spans="1:15" ht="15" thickBot="1" x14ac:dyDescent="0.35">
      <c r="B11" s="21" t="s">
        <v>5</v>
      </c>
      <c r="C11" s="22"/>
      <c r="D11" s="22"/>
      <c r="E11" s="22"/>
      <c r="F11" s="22">
        <f t="shared" ref="F11:O11" si="4">SUM(F2:F9)</f>
        <v>6357477</v>
      </c>
      <c r="G11" s="27">
        <f t="shared" si="4"/>
        <v>0</v>
      </c>
      <c r="H11" s="22">
        <f t="shared" si="4"/>
        <v>0</v>
      </c>
      <c r="I11" s="22">
        <f t="shared" si="4"/>
        <v>1196126</v>
      </c>
      <c r="J11" s="22">
        <f t="shared" si="4"/>
        <v>1883206</v>
      </c>
      <c r="K11" s="22">
        <f t="shared" si="4"/>
        <v>0</v>
      </c>
      <c r="L11" s="22">
        <f t="shared" si="4"/>
        <v>3278145</v>
      </c>
      <c r="M11" s="22">
        <f t="shared" si="4"/>
        <v>0</v>
      </c>
      <c r="N11" s="27">
        <f t="shared" si="4"/>
        <v>0</v>
      </c>
      <c r="O11" s="40">
        <f t="shared" si="4"/>
        <v>6357477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B72E-4A0D-4ABE-8ED8-B12202DBFA4E}">
  <sheetPr>
    <pageSetUpPr fitToPage="1"/>
  </sheetPr>
  <dimension ref="A1:O11"/>
  <sheetViews>
    <sheetView workbookViewId="0">
      <selection sqref="A1:O11"/>
    </sheetView>
  </sheetViews>
  <sheetFormatPr baseColWidth="10" defaultColWidth="11.44140625" defaultRowHeight="14.4" x14ac:dyDescent="0.3"/>
  <cols>
    <col min="2" max="2" width="19.33203125" bestFit="1" customWidth="1"/>
  </cols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8" t="s">
        <v>23</v>
      </c>
      <c r="L1" s="8" t="s">
        <v>7</v>
      </c>
      <c r="M1" s="9" t="s">
        <v>24</v>
      </c>
      <c r="N1" s="13" t="s">
        <v>25</v>
      </c>
      <c r="O1" s="10" t="s">
        <v>5</v>
      </c>
    </row>
    <row r="2" spans="1:15" ht="15" thickBot="1" x14ac:dyDescent="0.35">
      <c r="A2" s="17">
        <v>1</v>
      </c>
      <c r="B2" s="15" t="s">
        <v>28</v>
      </c>
      <c r="C2" s="1" t="s">
        <v>27</v>
      </c>
      <c r="D2" s="1">
        <v>5</v>
      </c>
      <c r="E2" s="2">
        <v>3600</v>
      </c>
      <c r="F2" s="36">
        <v>466647</v>
      </c>
      <c r="G2" s="38">
        <v>0</v>
      </c>
      <c r="H2" s="39">
        <v>18000</v>
      </c>
      <c r="I2" s="2">
        <v>174025</v>
      </c>
      <c r="J2" s="2">
        <v>62605</v>
      </c>
      <c r="K2" s="37">
        <v>0</v>
      </c>
      <c r="L2" s="6">
        <f t="shared" ref="L2:L10" si="0">F2+H2-I2-J2-K2-M2</f>
        <v>139133</v>
      </c>
      <c r="M2" s="5">
        <v>108884</v>
      </c>
      <c r="N2" s="37">
        <v>0</v>
      </c>
      <c r="O2" s="11">
        <f t="shared" ref="O2:O10" si="1">SUM(F2+H2+G2-M2)</f>
        <v>375763</v>
      </c>
    </row>
    <row r="3" spans="1:15" ht="15" thickBot="1" x14ac:dyDescent="0.35">
      <c r="A3" s="18">
        <v>2</v>
      </c>
      <c r="B3" s="15" t="s">
        <v>29</v>
      </c>
      <c r="C3" s="1" t="s">
        <v>27</v>
      </c>
      <c r="D3" s="1">
        <v>7</v>
      </c>
      <c r="E3" s="2">
        <v>4140</v>
      </c>
      <c r="F3" s="36">
        <v>753245</v>
      </c>
      <c r="G3" s="38">
        <v>0</v>
      </c>
      <c r="H3" s="39">
        <v>28980</v>
      </c>
      <c r="I3" s="2">
        <v>174025</v>
      </c>
      <c r="J3" s="2">
        <v>176598</v>
      </c>
      <c r="K3" s="37">
        <v>0</v>
      </c>
      <c r="L3" s="6">
        <f t="shared" si="0"/>
        <v>431602</v>
      </c>
      <c r="M3" s="5">
        <v>0</v>
      </c>
      <c r="N3" s="37">
        <v>0</v>
      </c>
      <c r="O3" s="11">
        <f t="shared" si="1"/>
        <v>782225</v>
      </c>
    </row>
    <row r="4" spans="1:15" ht="15" thickBot="1" x14ac:dyDescent="0.35">
      <c r="A4" s="18">
        <v>3</v>
      </c>
      <c r="B4" s="15" t="s">
        <v>30</v>
      </c>
      <c r="C4" s="1" t="s">
        <v>31</v>
      </c>
      <c r="D4" s="1">
        <v>8</v>
      </c>
      <c r="E4" s="2">
        <v>3650</v>
      </c>
      <c r="F4" s="36">
        <v>758516</v>
      </c>
      <c r="G4" s="38">
        <v>0</v>
      </c>
      <c r="H4" s="39">
        <v>0</v>
      </c>
      <c r="I4" s="2">
        <v>174025</v>
      </c>
      <c r="J4" s="2">
        <v>176598</v>
      </c>
      <c r="K4" s="37">
        <v>0</v>
      </c>
      <c r="L4" s="6">
        <f t="shared" si="0"/>
        <v>407893</v>
      </c>
      <c r="M4" s="5">
        <v>0</v>
      </c>
      <c r="N4" s="37">
        <v>0</v>
      </c>
      <c r="O4" s="11">
        <f t="shared" si="1"/>
        <v>758516</v>
      </c>
    </row>
    <row r="5" spans="1:15" ht="15" thickBot="1" x14ac:dyDescent="0.35">
      <c r="A5" s="18">
        <v>4</v>
      </c>
      <c r="B5" s="16" t="s">
        <v>32</v>
      </c>
      <c r="C5" s="1" t="s">
        <v>31</v>
      </c>
      <c r="D5" s="1">
        <v>9</v>
      </c>
      <c r="E5" s="2">
        <v>3730</v>
      </c>
      <c r="F5" s="36">
        <v>872966</v>
      </c>
      <c r="G5" s="38">
        <v>0</v>
      </c>
      <c r="H5" s="39">
        <v>33570</v>
      </c>
      <c r="I5" s="2">
        <v>174025</v>
      </c>
      <c r="J5" s="2">
        <v>176598</v>
      </c>
      <c r="K5" s="37">
        <v>0</v>
      </c>
      <c r="L5" s="6">
        <f t="shared" si="0"/>
        <v>555913</v>
      </c>
      <c r="M5" s="5">
        <v>0</v>
      </c>
      <c r="N5" s="37">
        <v>0</v>
      </c>
      <c r="O5" s="11">
        <f t="shared" si="1"/>
        <v>906536</v>
      </c>
    </row>
    <row r="6" spans="1:15" ht="15" thickBot="1" x14ac:dyDescent="0.35">
      <c r="A6" s="18">
        <v>5</v>
      </c>
      <c r="B6" s="1" t="s">
        <v>33</v>
      </c>
      <c r="C6" s="1" t="s">
        <v>31</v>
      </c>
      <c r="D6" s="1">
        <v>7</v>
      </c>
      <c r="E6" s="2">
        <v>4170</v>
      </c>
      <c r="F6" s="36">
        <v>758516</v>
      </c>
      <c r="G6" s="38">
        <v>0</v>
      </c>
      <c r="H6" s="39">
        <v>0</v>
      </c>
      <c r="I6" s="2">
        <v>174025</v>
      </c>
      <c r="J6" s="2">
        <v>176598</v>
      </c>
      <c r="K6" s="37">
        <v>0</v>
      </c>
      <c r="L6" s="6">
        <f t="shared" si="0"/>
        <v>407893</v>
      </c>
      <c r="M6" s="5">
        <v>0</v>
      </c>
      <c r="N6" s="37">
        <v>0</v>
      </c>
      <c r="O6" s="11">
        <f t="shared" si="1"/>
        <v>758516</v>
      </c>
    </row>
    <row r="7" spans="1:15" ht="15" thickBot="1" x14ac:dyDescent="0.35">
      <c r="A7" s="18">
        <v>6</v>
      </c>
      <c r="B7" s="1" t="s">
        <v>34</v>
      </c>
      <c r="C7" s="1" t="s">
        <v>31</v>
      </c>
      <c r="D7" s="1">
        <v>5</v>
      </c>
      <c r="E7" s="2">
        <v>3250</v>
      </c>
      <c r="F7" s="36">
        <v>422418</v>
      </c>
      <c r="G7" s="38">
        <v>0</v>
      </c>
      <c r="H7" s="39">
        <v>16250</v>
      </c>
      <c r="I7" s="2">
        <v>174025</v>
      </c>
      <c r="J7" s="2">
        <v>123673</v>
      </c>
      <c r="K7" s="37">
        <v>0</v>
      </c>
      <c r="L7" s="6">
        <f t="shared" si="0"/>
        <v>140970</v>
      </c>
      <c r="M7" s="5">
        <v>0</v>
      </c>
      <c r="N7" s="37">
        <v>0</v>
      </c>
      <c r="O7" s="11">
        <f t="shared" si="1"/>
        <v>438668</v>
      </c>
    </row>
    <row r="8" spans="1:15" ht="15" thickBot="1" x14ac:dyDescent="0.35">
      <c r="A8" s="18">
        <v>7</v>
      </c>
      <c r="B8" s="1" t="s">
        <v>35</v>
      </c>
      <c r="C8" s="3" t="s">
        <v>36</v>
      </c>
      <c r="D8" s="3">
        <v>9</v>
      </c>
      <c r="E8" s="2">
        <v>9100</v>
      </c>
      <c r="F8" s="36">
        <v>2133528</v>
      </c>
      <c r="G8" s="38">
        <v>0</v>
      </c>
      <c r="H8" s="39">
        <v>81900</v>
      </c>
      <c r="I8" s="2">
        <v>0</v>
      </c>
      <c r="J8" s="2">
        <v>1200000</v>
      </c>
      <c r="K8" s="37">
        <v>0</v>
      </c>
      <c r="L8" s="6">
        <f t="shared" si="0"/>
        <v>1015428</v>
      </c>
      <c r="M8" s="5">
        <v>0</v>
      </c>
      <c r="N8" s="37">
        <v>0</v>
      </c>
      <c r="O8" s="11">
        <f t="shared" si="1"/>
        <v>2215428</v>
      </c>
    </row>
    <row r="9" spans="1:15" ht="15" thickBot="1" x14ac:dyDescent="0.35">
      <c r="A9" s="18">
        <v>8</v>
      </c>
      <c r="B9" s="1" t="s">
        <v>37</v>
      </c>
      <c r="C9" s="1" t="s">
        <v>31</v>
      </c>
      <c r="D9" s="1">
        <v>5</v>
      </c>
      <c r="E9" s="1">
        <v>3250</v>
      </c>
      <c r="F9" s="36">
        <v>422418</v>
      </c>
      <c r="G9" s="38">
        <v>0</v>
      </c>
      <c r="H9" s="39">
        <v>16250</v>
      </c>
      <c r="I9" s="2">
        <v>162173</v>
      </c>
      <c r="J9" s="2">
        <v>115310</v>
      </c>
      <c r="K9" s="37">
        <v>0</v>
      </c>
      <c r="L9" s="6">
        <f t="shared" si="0"/>
        <v>161185</v>
      </c>
      <c r="M9" s="5">
        <v>0</v>
      </c>
      <c r="N9" s="37">
        <v>0</v>
      </c>
      <c r="O9" s="11">
        <f t="shared" si="1"/>
        <v>438668</v>
      </c>
    </row>
    <row r="10" spans="1:15" ht="15" thickBot="1" x14ac:dyDescent="0.35">
      <c r="A10" s="20">
        <v>9</v>
      </c>
      <c r="B10" s="1" t="s">
        <v>41</v>
      </c>
      <c r="C10" s="1" t="s">
        <v>31</v>
      </c>
      <c r="D10" s="1">
        <v>9</v>
      </c>
      <c r="E10" s="1">
        <v>4000</v>
      </c>
      <c r="F10" s="36">
        <v>732000</v>
      </c>
      <c r="G10" s="38">
        <v>0</v>
      </c>
      <c r="H10" s="39"/>
      <c r="I10" s="2"/>
      <c r="J10" s="2"/>
      <c r="K10" s="37"/>
      <c r="L10" s="6">
        <f t="shared" si="0"/>
        <v>634400</v>
      </c>
      <c r="M10" s="5">
        <v>97600</v>
      </c>
      <c r="N10" s="37">
        <v>0</v>
      </c>
      <c r="O10" s="11">
        <f t="shared" si="1"/>
        <v>634400</v>
      </c>
    </row>
    <row r="11" spans="1:15" ht="15" thickBot="1" x14ac:dyDescent="0.35">
      <c r="B11" s="21" t="s">
        <v>5</v>
      </c>
      <c r="C11" s="22"/>
      <c r="D11" s="22"/>
      <c r="E11" s="22"/>
      <c r="F11" s="22">
        <f t="shared" ref="F11:O11" si="2">SUM(F2:F10)</f>
        <v>7320254</v>
      </c>
      <c r="G11" s="27">
        <f t="shared" si="2"/>
        <v>0</v>
      </c>
      <c r="H11" s="22">
        <f t="shared" si="2"/>
        <v>194950</v>
      </c>
      <c r="I11" s="22">
        <f t="shared" si="2"/>
        <v>1206323</v>
      </c>
      <c r="J11" s="22">
        <f t="shared" si="2"/>
        <v>2207980</v>
      </c>
      <c r="K11" s="22">
        <f t="shared" si="2"/>
        <v>0</v>
      </c>
      <c r="L11" s="22">
        <f t="shared" si="2"/>
        <v>3894417</v>
      </c>
      <c r="M11" s="22">
        <f t="shared" si="2"/>
        <v>206484</v>
      </c>
      <c r="N11" s="27">
        <f t="shared" si="2"/>
        <v>0</v>
      </c>
      <c r="O11" s="40">
        <f t="shared" si="2"/>
        <v>7308720</v>
      </c>
    </row>
  </sheetData>
  <pageMargins left="0.7" right="0.7" top="0.75" bottom="0.75" header="0.3" footer="0.3"/>
  <pageSetup paperSize="9" fitToHeight="0" orientation="landscape" blackAndWhite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3C59-8B70-4D43-A282-989B88F360F6}">
  <dimension ref="A1:O15"/>
  <sheetViews>
    <sheetView workbookViewId="0">
      <selection activeCell="L20" sqref="L20"/>
    </sheetView>
  </sheetViews>
  <sheetFormatPr baseColWidth="10" defaultColWidth="11.44140625" defaultRowHeight="14.4" x14ac:dyDescent="0.3"/>
  <cols>
    <col min="2" max="2" width="19.33203125" bestFit="1" customWidth="1"/>
    <col min="3" max="3" width="13.44140625" bestFit="1" customWidth="1"/>
  </cols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2">
        <v>4400</v>
      </c>
      <c r="F2" s="36">
        <v>800800</v>
      </c>
      <c r="G2" s="38">
        <v>0</v>
      </c>
      <c r="H2" s="39">
        <v>61600</v>
      </c>
      <c r="I2" s="2">
        <v>176387</v>
      </c>
      <c r="J2" s="2">
        <v>176387</v>
      </c>
      <c r="K2" s="1">
        <v>0</v>
      </c>
      <c r="L2" s="1">
        <f t="shared" ref="L2:L5" si="0">F2+H2-I2-J2-K2-M2</f>
        <v>509626</v>
      </c>
      <c r="M2" s="1">
        <v>0</v>
      </c>
      <c r="N2" s="5">
        <v>0</v>
      </c>
      <c r="O2" s="11">
        <f t="shared" ref="O2:O5" si="1">SUM(F2+H2+G2-M2)</f>
        <v>862400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2">
        <v>4300</v>
      </c>
      <c r="F3" s="36">
        <v>782257</v>
      </c>
      <c r="G3" s="38">
        <v>0</v>
      </c>
      <c r="H3" s="39">
        <v>30100</v>
      </c>
      <c r="I3" s="2">
        <v>176387</v>
      </c>
      <c r="J3" s="2">
        <v>176387</v>
      </c>
      <c r="K3" s="1">
        <v>0</v>
      </c>
      <c r="L3" s="1">
        <f t="shared" si="0"/>
        <v>438083</v>
      </c>
      <c r="M3" s="1">
        <v>21500</v>
      </c>
      <c r="N3" s="5">
        <v>0</v>
      </c>
      <c r="O3" s="11">
        <f t="shared" si="1"/>
        <v>790857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2">
        <v>4500</v>
      </c>
      <c r="F4" s="36">
        <v>936300</v>
      </c>
      <c r="G4" s="38">
        <v>0</v>
      </c>
      <c r="H4" s="39">
        <v>72000</v>
      </c>
      <c r="I4" s="2">
        <v>176387</v>
      </c>
      <c r="J4" s="2">
        <v>176387</v>
      </c>
      <c r="K4" s="1">
        <v>0</v>
      </c>
      <c r="L4" s="1">
        <f t="shared" si="0"/>
        <v>651026</v>
      </c>
      <c r="M4" s="1">
        <v>4500</v>
      </c>
      <c r="N4" s="5">
        <v>0</v>
      </c>
      <c r="O4" s="11">
        <f t="shared" si="1"/>
        <v>1003800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2">
        <v>4500</v>
      </c>
      <c r="F5" s="36">
        <v>819000</v>
      </c>
      <c r="G5" s="38">
        <v>0</v>
      </c>
      <c r="H5" s="39">
        <v>63000</v>
      </c>
      <c r="I5" s="2">
        <v>176387</v>
      </c>
      <c r="J5" s="2">
        <v>176387</v>
      </c>
      <c r="K5" s="1">
        <v>0</v>
      </c>
      <c r="L5" s="1">
        <f t="shared" si="0"/>
        <v>529226</v>
      </c>
      <c r="M5" s="1">
        <v>0</v>
      </c>
      <c r="N5" s="5">
        <v>0</v>
      </c>
      <c r="O5" s="11">
        <f t="shared" si="1"/>
        <v>882000</v>
      </c>
    </row>
    <row r="6" spans="1:15" ht="15" thickBot="1" x14ac:dyDescent="0.35">
      <c r="A6" s="18">
        <v>6</v>
      </c>
      <c r="B6" s="15" t="s">
        <v>37</v>
      </c>
      <c r="C6" s="1" t="s">
        <v>27</v>
      </c>
      <c r="D6" s="1">
        <v>8</v>
      </c>
      <c r="E6" s="1">
        <v>3500</v>
      </c>
      <c r="F6" s="36">
        <v>728000</v>
      </c>
      <c r="G6" s="38">
        <v>0</v>
      </c>
      <c r="H6" s="39">
        <v>56000</v>
      </c>
      <c r="I6" s="2">
        <v>168919</v>
      </c>
      <c r="J6" s="2">
        <v>168919</v>
      </c>
      <c r="K6" s="1">
        <v>0</v>
      </c>
      <c r="L6" s="1">
        <f t="shared" ref="L6:L14" si="2">F6+H6-I6-J6-K6-M6</f>
        <v>285162</v>
      </c>
      <c r="M6" s="1">
        <v>161000</v>
      </c>
      <c r="N6" s="5">
        <v>0</v>
      </c>
      <c r="O6" s="11">
        <f t="shared" ref="O6:O8" si="3">SUM(F6+H6+G6-M6)</f>
        <v>623000</v>
      </c>
    </row>
    <row r="7" spans="1:15" ht="15" thickBot="1" x14ac:dyDescent="0.35">
      <c r="A7" s="18">
        <v>7</v>
      </c>
      <c r="B7" s="15" t="s">
        <v>41</v>
      </c>
      <c r="C7" s="1" t="s">
        <v>31</v>
      </c>
      <c r="D7" s="1">
        <v>7</v>
      </c>
      <c r="E7" s="1">
        <v>4168</v>
      </c>
      <c r="F7" s="36">
        <v>437640</v>
      </c>
      <c r="G7" s="38">
        <v>0</v>
      </c>
      <c r="H7" s="39"/>
      <c r="I7" s="2"/>
      <c r="J7" s="2">
        <v>0</v>
      </c>
      <c r="K7" s="1">
        <v>437640</v>
      </c>
      <c r="L7" s="1">
        <f t="shared" si="2"/>
        <v>0</v>
      </c>
      <c r="M7" s="1"/>
      <c r="N7" s="5">
        <v>0</v>
      </c>
      <c r="O7" s="11">
        <f t="shared" si="3"/>
        <v>437640</v>
      </c>
    </row>
    <row r="8" spans="1:15" ht="15" thickBot="1" x14ac:dyDescent="0.35">
      <c r="A8" s="18">
        <v>8</v>
      </c>
      <c r="B8" s="15" t="s">
        <v>43</v>
      </c>
      <c r="C8" s="1" t="s">
        <v>31</v>
      </c>
      <c r="D8" s="1">
        <v>6</v>
      </c>
      <c r="E8" s="1">
        <v>3350</v>
      </c>
      <c r="F8" s="36">
        <v>522756</v>
      </c>
      <c r="G8" s="38">
        <v>0</v>
      </c>
      <c r="H8" s="39">
        <v>20100</v>
      </c>
      <c r="I8" s="2">
        <v>158768</v>
      </c>
      <c r="J8" s="2">
        <v>158768</v>
      </c>
      <c r="K8" s="1">
        <v>0</v>
      </c>
      <c r="L8" s="1">
        <f t="shared" si="2"/>
        <v>225320</v>
      </c>
      <c r="M8" s="1"/>
      <c r="N8" s="5">
        <v>0</v>
      </c>
      <c r="O8" s="11">
        <f t="shared" si="3"/>
        <v>542856</v>
      </c>
    </row>
    <row r="9" spans="1:15" ht="15" thickBot="1" x14ac:dyDescent="0.35">
      <c r="A9" s="18">
        <v>9</v>
      </c>
      <c r="B9" s="15" t="s">
        <v>44</v>
      </c>
      <c r="C9" s="1" t="s">
        <v>31</v>
      </c>
      <c r="D9" s="1">
        <v>6</v>
      </c>
      <c r="E9" s="1">
        <v>3350</v>
      </c>
      <c r="F9" s="36">
        <v>522756</v>
      </c>
      <c r="G9" s="38">
        <v>0</v>
      </c>
      <c r="H9" s="39">
        <v>33500</v>
      </c>
      <c r="I9" s="2">
        <v>158768</v>
      </c>
      <c r="J9" s="2">
        <v>158768</v>
      </c>
      <c r="K9" s="1">
        <v>0</v>
      </c>
      <c r="L9" s="1">
        <f t="shared" si="2"/>
        <v>154970</v>
      </c>
      <c r="M9" s="1">
        <v>83750</v>
      </c>
      <c r="N9" s="5">
        <v>0</v>
      </c>
      <c r="O9" s="11">
        <f t="shared" ref="O9:O14" si="4">SUM(F9+H9+G9-M9)</f>
        <v>472506</v>
      </c>
    </row>
    <row r="10" spans="1:15" ht="15" thickBot="1" x14ac:dyDescent="0.35">
      <c r="A10" s="18">
        <v>10</v>
      </c>
      <c r="B10" s="15" t="s">
        <v>45</v>
      </c>
      <c r="C10" s="1" t="s">
        <v>31</v>
      </c>
      <c r="D10" s="1">
        <v>7</v>
      </c>
      <c r="E10" s="1">
        <v>4168</v>
      </c>
      <c r="F10" s="44">
        <v>408464</v>
      </c>
      <c r="G10" s="38">
        <v>0</v>
      </c>
      <c r="H10" s="45">
        <v>29176</v>
      </c>
      <c r="I10" s="1"/>
      <c r="J10" s="2">
        <v>0</v>
      </c>
      <c r="K10" s="1">
        <v>0</v>
      </c>
      <c r="L10" s="1">
        <f t="shared" si="2"/>
        <v>437640</v>
      </c>
      <c r="M10" s="1"/>
      <c r="N10" s="5">
        <v>0</v>
      </c>
      <c r="O10" s="11">
        <f t="shared" si="4"/>
        <v>437640</v>
      </c>
    </row>
    <row r="11" spans="1:15" ht="15" thickBot="1" x14ac:dyDescent="0.35">
      <c r="A11" s="18">
        <v>11</v>
      </c>
      <c r="B11" s="15" t="s">
        <v>35</v>
      </c>
      <c r="C11" s="1" t="s">
        <v>36</v>
      </c>
      <c r="D11" s="1">
        <v>8</v>
      </c>
      <c r="E11" s="1"/>
      <c r="F11" s="44">
        <v>2200307</v>
      </c>
      <c r="G11" s="38">
        <v>0</v>
      </c>
      <c r="H11" s="45"/>
      <c r="I11" s="1"/>
      <c r="J11" s="2">
        <v>1200000</v>
      </c>
      <c r="K11" s="1">
        <v>0</v>
      </c>
      <c r="L11" s="1">
        <f t="shared" si="2"/>
        <v>1000307</v>
      </c>
      <c r="M11" s="1"/>
      <c r="N11" s="5">
        <v>0</v>
      </c>
      <c r="O11" s="11">
        <f t="shared" si="4"/>
        <v>2200307</v>
      </c>
    </row>
    <row r="12" spans="1:15" ht="15" thickBot="1" x14ac:dyDescent="0.35">
      <c r="A12" s="18">
        <v>12</v>
      </c>
      <c r="B12" s="15" t="s">
        <v>46</v>
      </c>
      <c r="C12" s="1" t="s">
        <v>31</v>
      </c>
      <c r="D12" s="1">
        <v>8</v>
      </c>
      <c r="E12" s="1">
        <v>3350</v>
      </c>
      <c r="F12" s="44">
        <v>268000</v>
      </c>
      <c r="G12" s="38">
        <v>0</v>
      </c>
      <c r="H12" s="45"/>
      <c r="I12" s="1"/>
      <c r="J12" s="2">
        <v>0</v>
      </c>
      <c r="K12" s="1">
        <v>0</v>
      </c>
      <c r="L12" s="1">
        <f t="shared" si="2"/>
        <v>268000</v>
      </c>
      <c r="M12" s="1">
        <v>0</v>
      </c>
      <c r="N12" s="5">
        <v>0</v>
      </c>
      <c r="O12" s="11">
        <f t="shared" si="4"/>
        <v>268000</v>
      </c>
    </row>
    <row r="13" spans="1:15" ht="15" thickBot="1" x14ac:dyDescent="0.35">
      <c r="A13" s="18">
        <v>13</v>
      </c>
      <c r="B13" s="15" t="s">
        <v>47</v>
      </c>
      <c r="C13" s="1" t="s">
        <v>42</v>
      </c>
      <c r="D13" s="1">
        <v>5</v>
      </c>
      <c r="E13" s="1"/>
      <c r="F13" s="44">
        <v>224584</v>
      </c>
      <c r="G13" s="38">
        <v>0</v>
      </c>
      <c r="H13" s="45"/>
      <c r="I13" s="1"/>
      <c r="J13" s="2">
        <v>0</v>
      </c>
      <c r="K13" s="1">
        <v>224584</v>
      </c>
      <c r="L13" s="1">
        <f t="shared" si="2"/>
        <v>0</v>
      </c>
      <c r="M13" s="1">
        <v>0</v>
      </c>
      <c r="N13" s="5">
        <v>0</v>
      </c>
      <c r="O13" s="11">
        <f t="shared" si="4"/>
        <v>224584</v>
      </c>
    </row>
    <row r="14" spans="1:15" ht="15" thickBot="1" x14ac:dyDescent="0.35">
      <c r="A14" s="54">
        <v>14</v>
      </c>
      <c r="B14" s="16" t="s">
        <v>48</v>
      </c>
      <c r="C14" s="3" t="s">
        <v>42</v>
      </c>
      <c r="D14" s="3">
        <v>5</v>
      </c>
      <c r="E14" s="3"/>
      <c r="F14" s="49">
        <v>203298</v>
      </c>
      <c r="G14" s="38">
        <v>0</v>
      </c>
      <c r="H14" s="50"/>
      <c r="I14" s="3"/>
      <c r="J14" s="2">
        <v>0</v>
      </c>
      <c r="K14" s="1">
        <v>203298</v>
      </c>
      <c r="L14" s="1">
        <f t="shared" si="2"/>
        <v>0</v>
      </c>
      <c r="M14" s="3">
        <v>0</v>
      </c>
      <c r="N14" s="5">
        <v>0</v>
      </c>
      <c r="O14" s="11">
        <f t="shared" si="4"/>
        <v>203298</v>
      </c>
    </row>
    <row r="15" spans="1:15" ht="15" thickBot="1" x14ac:dyDescent="0.35">
      <c r="A15" s="51"/>
      <c r="B15" s="52" t="s">
        <v>5</v>
      </c>
      <c r="C15" s="53"/>
      <c r="D15" s="53"/>
      <c r="E15" s="53"/>
      <c r="F15" s="53">
        <f t="shared" ref="F15:O15" si="5">SUM(F2:F14)</f>
        <v>8854162</v>
      </c>
      <c r="G15" s="53">
        <f t="shared" si="5"/>
        <v>0</v>
      </c>
      <c r="H15" s="53">
        <f t="shared" si="5"/>
        <v>365476</v>
      </c>
      <c r="I15" s="53">
        <f t="shared" si="5"/>
        <v>1192003</v>
      </c>
      <c r="J15" s="53">
        <f t="shared" si="5"/>
        <v>2392003</v>
      </c>
      <c r="K15" s="53">
        <f t="shared" si="5"/>
        <v>865522</v>
      </c>
      <c r="L15" s="53">
        <f t="shared" si="5"/>
        <v>4499360</v>
      </c>
      <c r="M15" s="53">
        <f t="shared" si="5"/>
        <v>270750</v>
      </c>
      <c r="N15" s="53">
        <f t="shared" si="5"/>
        <v>0</v>
      </c>
      <c r="O15" s="53">
        <f t="shared" si="5"/>
        <v>8948888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6D09-7CCB-4CD7-8380-F6F0A7236F57}">
  <dimension ref="A1:H29"/>
  <sheetViews>
    <sheetView workbookViewId="0">
      <selection sqref="A1:H28"/>
    </sheetView>
  </sheetViews>
  <sheetFormatPr baseColWidth="10" defaultColWidth="11.44140625" defaultRowHeight="14.4" x14ac:dyDescent="0.3"/>
  <cols>
    <col min="1" max="1" width="16.44140625" bestFit="1" customWidth="1"/>
    <col min="2" max="2" width="16.6640625" bestFit="1" customWidth="1"/>
    <col min="4" max="4" width="16.44140625" bestFit="1" customWidth="1"/>
    <col min="5" max="5" width="14.44140625" bestFit="1" customWidth="1"/>
    <col min="7" max="7" width="16.44140625" bestFit="1" customWidth="1"/>
    <col min="8" max="8" width="18.554687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12</v>
      </c>
    </row>
    <row r="2" spans="1:8" ht="28.8" x14ac:dyDescent="0.55000000000000004">
      <c r="A2" s="24" t="s">
        <v>2</v>
      </c>
      <c r="B2" s="24">
        <v>800800</v>
      </c>
      <c r="C2" s="25"/>
      <c r="D2" s="24" t="s">
        <v>2</v>
      </c>
      <c r="E2" s="24">
        <v>782257</v>
      </c>
      <c r="G2" s="24" t="s">
        <v>2</v>
      </c>
      <c r="H2" s="24">
        <v>728000</v>
      </c>
    </row>
    <row r="3" spans="1:8" ht="28.8" x14ac:dyDescent="0.55000000000000004">
      <c r="A3" s="24" t="s">
        <v>3</v>
      </c>
      <c r="B3" s="24">
        <v>61600</v>
      </c>
      <c r="C3" s="24"/>
      <c r="D3" s="24" t="s">
        <v>3</v>
      </c>
      <c r="E3" s="24">
        <v>30100</v>
      </c>
      <c r="G3" s="24" t="s">
        <v>3</v>
      </c>
      <c r="H3" s="24">
        <v>56000</v>
      </c>
    </row>
    <row r="4" spans="1:8" ht="29.4" thickBot="1" x14ac:dyDescent="0.6">
      <c r="A4" s="24"/>
      <c r="B4" s="24"/>
      <c r="C4" s="24"/>
      <c r="D4" s="24" t="s">
        <v>49</v>
      </c>
      <c r="E4" s="24">
        <v>-21500</v>
      </c>
      <c r="G4" s="24" t="s">
        <v>50</v>
      </c>
      <c r="H4" s="24">
        <v>-161000</v>
      </c>
    </row>
    <row r="5" spans="1:8" ht="29.4" thickBot="1" x14ac:dyDescent="0.6">
      <c r="A5" s="24"/>
      <c r="B5" s="24"/>
      <c r="C5" s="24"/>
      <c r="D5" s="24"/>
      <c r="E5" s="24"/>
      <c r="G5" s="34" t="s">
        <v>5</v>
      </c>
      <c r="H5" s="32">
        <f>SUM(H2:H4)</f>
        <v>623000</v>
      </c>
    </row>
    <row r="6" spans="1:8" ht="29.4" thickBot="1" x14ac:dyDescent="0.6">
      <c r="A6" s="34" t="s">
        <v>5</v>
      </c>
      <c r="B6" s="34">
        <f>SUM(B2:B4)</f>
        <v>862400</v>
      </c>
      <c r="C6" s="30"/>
      <c r="D6" s="34" t="s">
        <v>5</v>
      </c>
      <c r="E6" s="34">
        <f>SUM(E2:E4)</f>
        <v>790857</v>
      </c>
      <c r="G6" s="28" t="s">
        <v>6</v>
      </c>
      <c r="H6" s="28">
        <f>(H5-H7)</f>
        <v>337838</v>
      </c>
    </row>
    <row r="7" spans="1:8" ht="28.8" x14ac:dyDescent="0.55000000000000004">
      <c r="A7" s="28" t="s">
        <v>6</v>
      </c>
      <c r="B7" s="28">
        <f>(B6-B8)</f>
        <v>352774</v>
      </c>
      <c r="C7" s="25"/>
      <c r="D7" s="28" t="s">
        <v>6</v>
      </c>
      <c r="E7" s="28">
        <f>(E6-E8)</f>
        <v>352774</v>
      </c>
      <c r="G7" s="28" t="s">
        <v>7</v>
      </c>
      <c r="H7" s="28">
        <v>285162</v>
      </c>
    </row>
    <row r="8" spans="1:8" ht="28.8" x14ac:dyDescent="0.55000000000000004">
      <c r="A8" s="28" t="s">
        <v>7</v>
      </c>
      <c r="B8" s="28">
        <v>509626</v>
      </c>
      <c r="C8" s="25"/>
      <c r="D8" s="28" t="s">
        <v>7</v>
      </c>
      <c r="E8" s="28">
        <v>438083</v>
      </c>
      <c r="G8" s="25"/>
      <c r="H8" s="29">
        <f>SUM(H6:H7)</f>
        <v>623000</v>
      </c>
    </row>
    <row r="9" spans="1:8" ht="28.8" x14ac:dyDescent="0.55000000000000004">
      <c r="A9" s="25"/>
      <c r="B9" s="29">
        <f>SUM(B7:B8)</f>
        <v>862400</v>
      </c>
      <c r="C9" s="25"/>
      <c r="D9" s="25"/>
      <c r="E9" s="29">
        <f>SUM(E7:E8)</f>
        <v>790857</v>
      </c>
      <c r="H9" s="12"/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9</v>
      </c>
      <c r="C11" s="24"/>
      <c r="D11" s="24"/>
      <c r="E11" s="25" t="s">
        <v>10</v>
      </c>
      <c r="F11" s="24"/>
      <c r="G11" s="24"/>
      <c r="H11" s="25" t="s">
        <v>51</v>
      </c>
    </row>
    <row r="12" spans="1:8" ht="28.8" x14ac:dyDescent="0.55000000000000004">
      <c r="A12" s="24" t="s">
        <v>2</v>
      </c>
      <c r="B12" s="24">
        <v>936300</v>
      </c>
      <c r="C12" s="24"/>
      <c r="D12" s="24" t="s">
        <v>2</v>
      </c>
      <c r="E12" s="24">
        <v>819000</v>
      </c>
      <c r="F12" s="25"/>
      <c r="G12" s="24" t="s">
        <v>2</v>
      </c>
      <c r="H12" s="24">
        <v>522756</v>
      </c>
    </row>
    <row r="13" spans="1:8" ht="28.8" x14ac:dyDescent="0.55000000000000004">
      <c r="A13" s="24" t="s">
        <v>3</v>
      </c>
      <c r="B13" s="24">
        <v>72000</v>
      </c>
      <c r="C13" s="24"/>
      <c r="D13" s="24" t="s">
        <v>3</v>
      </c>
      <c r="E13" s="24">
        <v>63000</v>
      </c>
      <c r="F13" s="24"/>
      <c r="G13" s="24" t="s">
        <v>3</v>
      </c>
      <c r="H13" s="24">
        <v>20100</v>
      </c>
    </row>
    <row r="14" spans="1:8" ht="29.4" thickBot="1" x14ac:dyDescent="0.6">
      <c r="A14" s="24" t="s">
        <v>52</v>
      </c>
      <c r="B14" s="24">
        <v>-4500</v>
      </c>
      <c r="C14" s="24"/>
      <c r="D14" s="24"/>
      <c r="E14" s="24">
        <v>0</v>
      </c>
      <c r="F14" s="24"/>
      <c r="G14" s="24"/>
      <c r="H14" s="24">
        <v>0</v>
      </c>
    </row>
    <row r="15" spans="1:8" ht="29.4" thickBot="1" x14ac:dyDescent="0.6">
      <c r="A15" s="33" t="s">
        <v>5</v>
      </c>
      <c r="B15" s="34">
        <f>SUM(B12:B14)</f>
        <v>1003800</v>
      </c>
      <c r="C15" s="31"/>
      <c r="D15" s="34" t="s">
        <v>5</v>
      </c>
      <c r="E15" s="34">
        <f>SUM(E12:E14)</f>
        <v>882000</v>
      </c>
      <c r="F15" s="30"/>
      <c r="G15" s="34" t="s">
        <v>5</v>
      </c>
      <c r="H15" s="32">
        <f>SUM(H12:H14)</f>
        <v>542856</v>
      </c>
    </row>
    <row r="16" spans="1:8" ht="28.8" x14ac:dyDescent="0.55000000000000004">
      <c r="A16" s="28" t="s">
        <v>6</v>
      </c>
      <c r="B16" s="28">
        <f>(B15-B17)</f>
        <v>352774</v>
      </c>
      <c r="C16" s="24"/>
      <c r="D16" s="28" t="s">
        <v>6</v>
      </c>
      <c r="E16" s="28">
        <f>(E15-E17)</f>
        <v>352774</v>
      </c>
      <c r="F16" s="25"/>
      <c r="G16" s="28" t="s">
        <v>6</v>
      </c>
      <c r="H16" s="28">
        <f>(H15-H17)</f>
        <v>317536</v>
      </c>
    </row>
    <row r="17" spans="1:8" ht="28.8" x14ac:dyDescent="0.55000000000000004">
      <c r="A17" s="28" t="s">
        <v>7</v>
      </c>
      <c r="B17" s="28">
        <v>651026</v>
      </c>
      <c r="C17" s="24"/>
      <c r="D17" s="28" t="s">
        <v>7</v>
      </c>
      <c r="E17" s="28">
        <v>529226</v>
      </c>
      <c r="F17" s="25"/>
      <c r="G17" s="28" t="s">
        <v>7</v>
      </c>
      <c r="H17" s="28">
        <v>225320</v>
      </c>
    </row>
    <row r="18" spans="1:8" ht="28.8" x14ac:dyDescent="0.55000000000000004">
      <c r="A18" s="25"/>
      <c r="B18" s="29">
        <f>SUM(B16:B17)</f>
        <v>1003800</v>
      </c>
      <c r="C18" s="24"/>
      <c r="D18" s="25"/>
      <c r="E18" s="29">
        <f>SUM(E16:E17)</f>
        <v>882000</v>
      </c>
      <c r="F18" s="25"/>
      <c r="G18" s="25"/>
      <c r="H18" s="29">
        <f>SUM(H16:H17)</f>
        <v>542856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40</v>
      </c>
      <c r="C20" s="24"/>
      <c r="D20" s="24"/>
      <c r="E20" s="25" t="s">
        <v>53</v>
      </c>
      <c r="F20" s="25"/>
      <c r="G20" s="24"/>
      <c r="H20" s="25" t="s">
        <v>54</v>
      </c>
    </row>
    <row r="21" spans="1:8" ht="28.8" x14ac:dyDescent="0.55000000000000004">
      <c r="A21" s="24" t="s">
        <v>2</v>
      </c>
      <c r="B21" s="24">
        <v>522756</v>
      </c>
      <c r="C21" s="24"/>
      <c r="D21" s="24" t="s">
        <v>2</v>
      </c>
      <c r="E21" s="24">
        <v>408464</v>
      </c>
      <c r="F21" s="25"/>
      <c r="G21" s="24" t="s">
        <v>2</v>
      </c>
      <c r="H21" s="24">
        <v>268000</v>
      </c>
    </row>
    <row r="22" spans="1:8" ht="28.8" x14ac:dyDescent="0.55000000000000004">
      <c r="A22" s="24" t="s">
        <v>3</v>
      </c>
      <c r="B22" s="24">
        <v>33500</v>
      </c>
      <c r="C22" s="24"/>
      <c r="D22" s="24" t="s">
        <v>3</v>
      </c>
      <c r="E22" s="24">
        <v>29176</v>
      </c>
      <c r="F22" s="25"/>
      <c r="G22" s="24" t="s">
        <v>3</v>
      </c>
      <c r="H22" s="24"/>
    </row>
    <row r="23" spans="1:8" ht="29.4" thickBot="1" x14ac:dyDescent="0.6">
      <c r="A23" s="24" t="s">
        <v>55</v>
      </c>
      <c r="B23" s="24">
        <v>-83750</v>
      </c>
      <c r="C23" s="24"/>
      <c r="D23" s="24"/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472506</v>
      </c>
      <c r="C24" s="31"/>
      <c r="D24" s="34" t="s">
        <v>5</v>
      </c>
      <c r="E24" s="35">
        <f>SUM(E21:E23)</f>
        <v>437640</v>
      </c>
      <c r="F24" s="25"/>
      <c r="G24" s="34" t="s">
        <v>5</v>
      </c>
      <c r="H24" s="35">
        <f>SUM(H21:H23)</f>
        <v>268000</v>
      </c>
    </row>
    <row r="25" spans="1:8" ht="28.8" x14ac:dyDescent="0.55000000000000004">
      <c r="A25" s="28" t="s">
        <v>6</v>
      </c>
      <c r="B25" s="28">
        <f>(B24-B26)</f>
        <v>317536</v>
      </c>
      <c r="C25" s="24"/>
      <c r="D25" s="28" t="s">
        <v>6</v>
      </c>
      <c r="E25" s="28">
        <f>(E24-E26)</f>
        <v>0</v>
      </c>
      <c r="F25" s="25"/>
      <c r="G25" s="28" t="s">
        <v>6</v>
      </c>
      <c r="H25" s="28">
        <f>(H24-H26)</f>
        <v>0</v>
      </c>
    </row>
    <row r="26" spans="1:8" ht="28.8" x14ac:dyDescent="0.55000000000000004">
      <c r="A26" s="28" t="s">
        <v>7</v>
      </c>
      <c r="B26" s="28">
        <v>154970</v>
      </c>
      <c r="C26" s="24"/>
      <c r="D26" s="28" t="s">
        <v>7</v>
      </c>
      <c r="E26" s="28">
        <v>437640</v>
      </c>
      <c r="F26" s="24"/>
      <c r="G26" s="28" t="s">
        <v>7</v>
      </c>
      <c r="H26" s="28">
        <v>268000</v>
      </c>
    </row>
    <row r="27" spans="1:8" ht="28.8" x14ac:dyDescent="0.55000000000000004">
      <c r="A27" s="25"/>
      <c r="B27" s="29">
        <f>SUM(B25:B26)</f>
        <v>472506</v>
      </c>
      <c r="C27" s="24"/>
      <c r="D27" s="25"/>
      <c r="E27" s="29">
        <f>SUM(E25:E26)</f>
        <v>437640</v>
      </c>
      <c r="F27" s="24"/>
      <c r="G27" s="25"/>
      <c r="H27" s="29">
        <f>SUM(H25:H26)</f>
        <v>268000</v>
      </c>
    </row>
    <row r="28" spans="1:8" ht="28.8" x14ac:dyDescent="0.55000000000000004">
      <c r="A28" s="24"/>
      <c r="B28" s="24"/>
      <c r="C28" s="24"/>
      <c r="D28" s="24"/>
      <c r="E28" s="24"/>
      <c r="F28" s="24"/>
      <c r="G28" s="24"/>
      <c r="H28" s="24"/>
    </row>
    <row r="29" spans="1:8" ht="28.8" x14ac:dyDescent="0.55000000000000004">
      <c r="A29" s="26"/>
      <c r="B29" s="26"/>
      <c r="C29" s="26"/>
      <c r="D29" s="26"/>
      <c r="E29" s="26"/>
      <c r="F29" s="26"/>
      <c r="G29" s="26"/>
      <c r="H29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6D2F-F6C8-4324-9ECB-E81B9CB134A0}">
  <dimension ref="A1:O11"/>
  <sheetViews>
    <sheetView workbookViewId="0">
      <selection activeCell="K8" sqref="K8"/>
    </sheetView>
  </sheetViews>
  <sheetFormatPr baseColWidth="10" defaultColWidth="11.44140625" defaultRowHeight="14.4" x14ac:dyDescent="0.3"/>
  <cols>
    <col min="1" max="1" width="3" bestFit="1" customWidth="1"/>
    <col min="2" max="2" width="19.33203125" bestFit="1" customWidth="1"/>
    <col min="5" max="5" width="12.5546875" bestFit="1" customWidth="1"/>
    <col min="16" max="16" width="0" hidden="1" customWidth="1"/>
  </cols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5">
        <f>F2/26/7</f>
        <v>4528.5714285714284</v>
      </c>
      <c r="F2" s="36">
        <v>824200</v>
      </c>
      <c r="G2" s="38">
        <v>0</v>
      </c>
      <c r="H2" s="39">
        <v>63406</v>
      </c>
      <c r="I2" s="2">
        <v>178740</v>
      </c>
      <c r="J2" s="2">
        <v>192489</v>
      </c>
      <c r="K2" s="1">
        <v>0</v>
      </c>
      <c r="L2" s="1">
        <f t="shared" ref="L2:L10" si="0">F2+H2-I2-J2-K2-M2</f>
        <v>516377</v>
      </c>
      <c r="M2" s="1">
        <v>0</v>
      </c>
      <c r="N2" s="5">
        <v>0</v>
      </c>
      <c r="O2" s="11">
        <f t="shared" ref="O2:O10" si="1">SUM(F2+H2+G2-M2)</f>
        <v>887606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5">
        <f t="shared" ref="E3:E9" si="2">F3/26/7</f>
        <v>4423.6263736263736</v>
      </c>
      <c r="F3" s="36">
        <v>805100</v>
      </c>
      <c r="G3" s="38">
        <v>0</v>
      </c>
      <c r="H3" s="39">
        <v>48664</v>
      </c>
      <c r="I3" s="2">
        <v>178740</v>
      </c>
      <c r="J3" s="2">
        <v>192489</v>
      </c>
      <c r="K3" s="1">
        <v>0</v>
      </c>
      <c r="L3" s="1">
        <f t="shared" si="0"/>
        <v>469263</v>
      </c>
      <c r="M3" s="1">
        <v>13272</v>
      </c>
      <c r="N3" s="5">
        <v>0</v>
      </c>
      <c r="O3" s="11">
        <f t="shared" si="1"/>
        <v>840492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5">
        <f>F4/26/8</f>
        <v>4632.6923076923076</v>
      </c>
      <c r="F4" s="36">
        <v>963600</v>
      </c>
      <c r="G4" s="38">
        <v>0</v>
      </c>
      <c r="H4" s="39">
        <v>74128</v>
      </c>
      <c r="I4" s="2">
        <v>178740</v>
      </c>
      <c r="J4" s="2">
        <v>192489</v>
      </c>
      <c r="K4" s="1">
        <v>0</v>
      </c>
      <c r="L4" s="1">
        <f t="shared" si="0"/>
        <v>666499</v>
      </c>
      <c r="M4" s="1">
        <v>0</v>
      </c>
      <c r="N4" s="5">
        <v>0</v>
      </c>
      <c r="O4" s="11">
        <f t="shared" si="1"/>
        <v>1037728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5">
        <f t="shared" si="2"/>
        <v>4631.3186813186812</v>
      </c>
      <c r="F5" s="36">
        <v>842900</v>
      </c>
      <c r="G5" s="38">
        <v>0</v>
      </c>
      <c r="H5" s="39">
        <v>64834</v>
      </c>
      <c r="I5" s="2">
        <v>178740</v>
      </c>
      <c r="J5" s="2">
        <v>192489</v>
      </c>
      <c r="K5" s="1">
        <v>0</v>
      </c>
      <c r="L5" s="1">
        <f t="shared" si="0"/>
        <v>536505</v>
      </c>
      <c r="M5" s="1">
        <v>0</v>
      </c>
      <c r="N5" s="5">
        <v>0</v>
      </c>
      <c r="O5" s="11">
        <f t="shared" si="1"/>
        <v>907734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5">
        <f>F6/26/8</f>
        <v>10887.5</v>
      </c>
      <c r="F6" s="36">
        <v>2264600</v>
      </c>
      <c r="G6" s="38">
        <v>0</v>
      </c>
      <c r="H6" s="39">
        <v>108880</v>
      </c>
      <c r="I6" s="2"/>
      <c r="J6" s="2">
        <v>1200000</v>
      </c>
      <c r="K6" s="1">
        <v>0</v>
      </c>
      <c r="L6" s="1">
        <f t="shared" si="0"/>
        <v>1173480</v>
      </c>
      <c r="M6" s="1">
        <v>0</v>
      </c>
      <c r="N6" s="5">
        <v>0</v>
      </c>
      <c r="O6" s="11">
        <f t="shared" si="1"/>
        <v>2373480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5">
        <f>F7/26/6</f>
        <v>3448.7179487179487</v>
      </c>
      <c r="F7" s="36">
        <v>538000</v>
      </c>
      <c r="G7" s="38">
        <v>0</v>
      </c>
      <c r="H7" s="39">
        <v>41388</v>
      </c>
      <c r="I7" s="2">
        <v>160886</v>
      </c>
      <c r="J7" s="2">
        <v>173262</v>
      </c>
      <c r="K7" s="1">
        <v>0</v>
      </c>
      <c r="L7" s="1">
        <f t="shared" si="0"/>
        <v>245240</v>
      </c>
      <c r="M7" s="1">
        <v>0</v>
      </c>
      <c r="N7" s="5">
        <v>0</v>
      </c>
      <c r="O7" s="11">
        <f t="shared" si="1"/>
        <v>579388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5">
        <f>F8/26/6</f>
        <v>3448.7179487179487</v>
      </c>
      <c r="F8" s="36">
        <v>538000</v>
      </c>
      <c r="G8" s="38">
        <v>0</v>
      </c>
      <c r="H8" s="39">
        <v>41388</v>
      </c>
      <c r="I8" s="2">
        <v>160886</v>
      </c>
      <c r="J8" s="2">
        <v>173262</v>
      </c>
      <c r="K8" s="1">
        <v>0</v>
      </c>
      <c r="L8" s="1">
        <f t="shared" si="0"/>
        <v>162464</v>
      </c>
      <c r="M8" s="1">
        <v>82776</v>
      </c>
      <c r="N8" s="5">
        <v>0</v>
      </c>
      <c r="O8" s="11">
        <f t="shared" si="1"/>
        <v>496612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5">
        <f t="shared" si="2"/>
        <v>4289.5604395604396</v>
      </c>
      <c r="F9" s="44">
        <v>780700</v>
      </c>
      <c r="G9" s="38">
        <v>0</v>
      </c>
      <c r="H9" s="39">
        <v>60060</v>
      </c>
      <c r="I9" s="2">
        <v>160886</v>
      </c>
      <c r="J9" s="2">
        <v>173262</v>
      </c>
      <c r="K9" s="1">
        <v>0</v>
      </c>
      <c r="L9" s="1">
        <f t="shared" si="0"/>
        <v>506612</v>
      </c>
      <c r="M9" s="1">
        <v>0</v>
      </c>
      <c r="N9" s="5">
        <v>0</v>
      </c>
      <c r="O9" s="11">
        <f t="shared" si="1"/>
        <v>840760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5">
        <f>F10/26/8</f>
        <v>3447.5961538461538</v>
      </c>
      <c r="F10" s="44">
        <v>717100</v>
      </c>
      <c r="G10" s="38">
        <v>0</v>
      </c>
      <c r="H10" s="39">
        <v>55168</v>
      </c>
      <c r="I10" s="2">
        <v>160886</v>
      </c>
      <c r="J10" s="2">
        <v>173262</v>
      </c>
      <c r="K10" s="1">
        <v>0</v>
      </c>
      <c r="L10" s="1">
        <f t="shared" si="0"/>
        <v>438120</v>
      </c>
      <c r="M10" s="1">
        <v>0</v>
      </c>
      <c r="N10" s="5">
        <v>0</v>
      </c>
      <c r="O10" s="11">
        <f t="shared" si="1"/>
        <v>772268</v>
      </c>
    </row>
    <row r="11" spans="1:15" ht="15" thickBot="1" x14ac:dyDescent="0.35">
      <c r="A11" s="51"/>
      <c r="B11" s="52" t="s">
        <v>5</v>
      </c>
      <c r="C11" s="53"/>
      <c r="D11" s="53"/>
      <c r="E11" s="53"/>
      <c r="F11" s="53">
        <f t="shared" ref="F11:O11" si="3">SUM(F2:F10)</f>
        <v>8274200</v>
      </c>
      <c r="G11" s="53">
        <f t="shared" si="3"/>
        <v>0</v>
      </c>
      <c r="H11" s="53">
        <f t="shared" si="3"/>
        <v>557916</v>
      </c>
      <c r="I11" s="53">
        <f t="shared" si="3"/>
        <v>1358504</v>
      </c>
      <c r="J11" s="53">
        <f t="shared" si="3"/>
        <v>2663004</v>
      </c>
      <c r="K11" s="53">
        <f t="shared" si="3"/>
        <v>0</v>
      </c>
      <c r="L11" s="53">
        <f t="shared" si="3"/>
        <v>4714560</v>
      </c>
      <c r="M11" s="53">
        <f t="shared" si="3"/>
        <v>96048</v>
      </c>
      <c r="N11" s="53">
        <f t="shared" si="3"/>
        <v>0</v>
      </c>
      <c r="O11" s="53">
        <f t="shared" si="3"/>
        <v>8736068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F045-AB58-4B24-844A-E8CF6E272B45}">
  <dimension ref="A1:H28"/>
  <sheetViews>
    <sheetView workbookViewId="0">
      <selection sqref="A1:H28"/>
    </sheetView>
  </sheetViews>
  <sheetFormatPr baseColWidth="10" defaultColWidth="11.44140625" defaultRowHeight="14.4" x14ac:dyDescent="0.3"/>
  <cols>
    <col min="1" max="1" width="16.44140625" bestFit="1" customWidth="1"/>
    <col min="2" max="2" width="16.6640625" bestFit="1" customWidth="1"/>
    <col min="4" max="4" width="16.44140625" bestFit="1" customWidth="1"/>
    <col min="5" max="5" width="14.44140625" bestFit="1" customWidth="1"/>
    <col min="7" max="7" width="16.44140625" bestFit="1" customWidth="1"/>
    <col min="8" max="8" width="18.10937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824200</v>
      </c>
      <c r="C2" s="25"/>
      <c r="D2" s="24" t="s">
        <v>2</v>
      </c>
      <c r="E2" s="24">
        <v>805100</v>
      </c>
      <c r="G2" s="24" t="s">
        <v>2</v>
      </c>
      <c r="H2" s="24">
        <v>963600</v>
      </c>
    </row>
    <row r="3" spans="1:8" ht="28.8" x14ac:dyDescent="0.55000000000000004">
      <c r="A3" s="24" t="s">
        <v>3</v>
      </c>
      <c r="B3" s="24">
        <v>63406</v>
      </c>
      <c r="C3" s="24"/>
      <c r="D3" s="24" t="s">
        <v>3</v>
      </c>
      <c r="E3" s="24">
        <v>48664</v>
      </c>
      <c r="G3" s="24" t="s">
        <v>3</v>
      </c>
      <c r="H3" s="24">
        <v>74128</v>
      </c>
    </row>
    <row r="4" spans="1:8" ht="28.8" x14ac:dyDescent="0.55000000000000004">
      <c r="A4" s="24"/>
      <c r="B4" s="24"/>
      <c r="C4" s="24"/>
      <c r="D4" s="24" t="s">
        <v>49</v>
      </c>
      <c r="E4" s="24">
        <v>-13272</v>
      </c>
      <c r="G4" s="24"/>
      <c r="H4" s="24"/>
    </row>
    <row r="5" spans="1:8" ht="29.4" thickBot="1" x14ac:dyDescent="0.6">
      <c r="A5" s="24"/>
      <c r="B5" s="24"/>
      <c r="C5" s="24"/>
      <c r="D5" s="24"/>
      <c r="E5" s="24"/>
    </row>
    <row r="6" spans="1:8" ht="29.4" thickBot="1" x14ac:dyDescent="0.6">
      <c r="A6" s="34" t="s">
        <v>5</v>
      </c>
      <c r="B6" s="34">
        <f>SUM(B2:B4)</f>
        <v>887606</v>
      </c>
      <c r="C6" s="30"/>
      <c r="D6" s="34" t="s">
        <v>5</v>
      </c>
      <c r="E6" s="34">
        <f>SUM(E2:E4)</f>
        <v>840492</v>
      </c>
      <c r="G6" s="34" t="s">
        <v>5</v>
      </c>
      <c r="H6" s="35">
        <f>SUM(H2:H3)</f>
        <v>1037728</v>
      </c>
    </row>
    <row r="7" spans="1:8" ht="28.8" x14ac:dyDescent="0.55000000000000004">
      <c r="A7" s="28" t="s">
        <v>6</v>
      </c>
      <c r="B7" s="28">
        <f>(B6-B8)</f>
        <v>371229</v>
      </c>
      <c r="C7" s="25"/>
      <c r="D7" s="28" t="s">
        <v>6</v>
      </c>
      <c r="E7" s="28">
        <f>(E6-E8)</f>
        <v>371229</v>
      </c>
      <c r="G7" s="28" t="s">
        <v>6</v>
      </c>
      <c r="H7" s="28">
        <f>(H6-H8)</f>
        <v>371229</v>
      </c>
    </row>
    <row r="8" spans="1:8" ht="28.8" x14ac:dyDescent="0.55000000000000004">
      <c r="A8" s="28" t="s">
        <v>7</v>
      </c>
      <c r="B8" s="28">
        <v>516377</v>
      </c>
      <c r="C8" s="25"/>
      <c r="D8" s="28" t="s">
        <v>7</v>
      </c>
      <c r="E8" s="28">
        <v>469263</v>
      </c>
      <c r="G8" s="28" t="s">
        <v>7</v>
      </c>
      <c r="H8" s="28">
        <v>666499</v>
      </c>
    </row>
    <row r="9" spans="1:8" ht="28.8" x14ac:dyDescent="0.55000000000000004">
      <c r="A9" s="25"/>
      <c r="B9" s="29">
        <f>SUM(B7:B8)</f>
        <v>887606</v>
      </c>
      <c r="C9" s="25"/>
      <c r="D9" s="25"/>
      <c r="E9" s="29">
        <f>SUM(E7:E8)</f>
        <v>840492</v>
      </c>
      <c r="G9" s="25"/>
      <c r="H9" s="29">
        <f>SUM(H7:H8)</f>
        <v>1037728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842900</v>
      </c>
      <c r="C12" s="24"/>
      <c r="D12" s="24" t="s">
        <v>2</v>
      </c>
      <c r="E12" s="24">
        <v>538000</v>
      </c>
      <c r="F12" s="25"/>
      <c r="G12" s="24" t="s">
        <v>2</v>
      </c>
      <c r="H12" s="24">
        <v>538000</v>
      </c>
    </row>
    <row r="13" spans="1:8" ht="28.8" x14ac:dyDescent="0.55000000000000004">
      <c r="A13" s="24" t="s">
        <v>3</v>
      </c>
      <c r="B13" s="24">
        <v>64834</v>
      </c>
      <c r="C13" s="24"/>
      <c r="D13" s="24" t="s">
        <v>3</v>
      </c>
      <c r="E13" s="24">
        <v>41388</v>
      </c>
      <c r="F13" s="24"/>
      <c r="G13" s="24" t="s">
        <v>3</v>
      </c>
      <c r="H13" s="24">
        <v>41388</v>
      </c>
    </row>
    <row r="14" spans="1:8" ht="29.4" thickBot="1" x14ac:dyDescent="0.6">
      <c r="A14" s="24" t="s">
        <v>52</v>
      </c>
      <c r="B14" s="24">
        <v>0</v>
      </c>
      <c r="C14" s="24"/>
      <c r="D14" s="24"/>
      <c r="E14" s="24">
        <v>0</v>
      </c>
      <c r="F14" s="24"/>
      <c r="G14" s="24" t="s">
        <v>57</v>
      </c>
      <c r="H14" s="24">
        <v>-82776</v>
      </c>
    </row>
    <row r="15" spans="1:8" ht="29.4" thickBot="1" x14ac:dyDescent="0.6">
      <c r="A15" s="33" t="s">
        <v>5</v>
      </c>
      <c r="B15" s="34">
        <f>SUM(B12:B14)</f>
        <v>907734</v>
      </c>
      <c r="C15" s="31"/>
      <c r="D15" s="34" t="s">
        <v>5</v>
      </c>
      <c r="E15" s="34">
        <f>SUM(E12:E14)</f>
        <v>579388</v>
      </c>
      <c r="F15" s="30"/>
      <c r="G15" s="34" t="s">
        <v>5</v>
      </c>
      <c r="H15" s="32">
        <f>SUM(H12:H14)</f>
        <v>496612</v>
      </c>
    </row>
    <row r="16" spans="1:8" ht="28.8" x14ac:dyDescent="0.55000000000000004">
      <c r="A16" s="28" t="s">
        <v>6</v>
      </c>
      <c r="B16" s="28">
        <f>(B15-B17)</f>
        <v>371229</v>
      </c>
      <c r="C16" s="24"/>
      <c r="D16" s="28" t="s">
        <v>6</v>
      </c>
      <c r="E16" s="28">
        <f>(E15-E17)</f>
        <v>334148</v>
      </c>
      <c r="F16" s="25"/>
      <c r="G16" s="28" t="s">
        <v>6</v>
      </c>
      <c r="H16" s="28">
        <f>(H15-H17)</f>
        <v>334148</v>
      </c>
    </row>
    <row r="17" spans="1:8" ht="28.8" x14ac:dyDescent="0.55000000000000004">
      <c r="A17" s="28" t="s">
        <v>7</v>
      </c>
      <c r="B17" s="28">
        <v>536505</v>
      </c>
      <c r="C17" s="24"/>
      <c r="D17" s="28" t="s">
        <v>7</v>
      </c>
      <c r="E17" s="28">
        <v>245240</v>
      </c>
      <c r="F17" s="25"/>
      <c r="G17" s="28" t="s">
        <v>7</v>
      </c>
      <c r="H17" s="28">
        <v>162464</v>
      </c>
    </row>
    <row r="18" spans="1:8" ht="28.8" x14ac:dyDescent="0.55000000000000004">
      <c r="A18" s="25"/>
      <c r="B18" s="29">
        <f>SUM(B16:B17)</f>
        <v>907734</v>
      </c>
      <c r="C18" s="24"/>
      <c r="D18" s="25"/>
      <c r="E18" s="29">
        <f>SUM(E16:E17)</f>
        <v>579388</v>
      </c>
      <c r="F18" s="25"/>
      <c r="G18" s="25"/>
      <c r="H18" s="29">
        <f>SUM(H16:H17)</f>
        <v>496612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780700</v>
      </c>
      <c r="C21" s="24"/>
      <c r="D21" s="24" t="s">
        <v>2</v>
      </c>
      <c r="E21" s="24">
        <v>717100</v>
      </c>
      <c r="F21" s="25"/>
      <c r="G21" s="24"/>
      <c r="H21" s="24"/>
    </row>
    <row r="22" spans="1:8" ht="28.8" x14ac:dyDescent="0.55000000000000004">
      <c r="A22" s="24" t="s">
        <v>3</v>
      </c>
      <c r="B22" s="24">
        <v>60060</v>
      </c>
      <c r="C22" s="24"/>
      <c r="D22" s="24" t="s">
        <v>3</v>
      </c>
      <c r="E22" s="24">
        <v>55168</v>
      </c>
      <c r="F22" s="25"/>
      <c r="G22" s="24"/>
      <c r="H22" s="24"/>
    </row>
    <row r="23" spans="1:8" ht="29.4" thickBot="1" x14ac:dyDescent="0.6">
      <c r="A23" s="24" t="s">
        <v>55</v>
      </c>
      <c r="B23" s="24">
        <v>0</v>
      </c>
      <c r="C23" s="24"/>
      <c r="D23" s="24"/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840760</v>
      </c>
      <c r="C24" s="31"/>
      <c r="D24" s="34" t="s">
        <v>5</v>
      </c>
      <c r="E24" s="35">
        <f>SUM(E21:E23)</f>
        <v>772268</v>
      </c>
      <c r="F24" s="25"/>
      <c r="G24" s="24"/>
    </row>
    <row r="25" spans="1:8" ht="28.8" x14ac:dyDescent="0.55000000000000004">
      <c r="A25" s="28" t="s">
        <v>6</v>
      </c>
      <c r="B25" s="28">
        <f>(B24-B26)</f>
        <v>334148</v>
      </c>
      <c r="C25" s="24"/>
      <c r="D25" s="28" t="s">
        <v>6</v>
      </c>
      <c r="E25" s="28">
        <f>(E24-E26)</f>
        <v>334148</v>
      </c>
      <c r="F25" s="25"/>
      <c r="G25" s="28"/>
      <c r="H25" s="28"/>
    </row>
    <row r="26" spans="1:8" ht="28.8" x14ac:dyDescent="0.55000000000000004">
      <c r="A26" s="28" t="s">
        <v>7</v>
      </c>
      <c r="B26" s="28">
        <v>506612</v>
      </c>
      <c r="C26" s="24"/>
      <c r="D26" s="28" t="s">
        <v>7</v>
      </c>
      <c r="E26" s="28">
        <v>438120</v>
      </c>
      <c r="F26" s="24"/>
      <c r="G26" s="28"/>
      <c r="H26" s="28"/>
    </row>
    <row r="27" spans="1:8" ht="28.8" x14ac:dyDescent="0.55000000000000004">
      <c r="A27" s="25"/>
      <c r="B27" s="29">
        <f>SUM(B25:B26)</f>
        <v>840760</v>
      </c>
      <c r="C27" s="24"/>
      <c r="D27" s="25"/>
      <c r="E27" s="29">
        <f>SUM(E25:E26)</f>
        <v>772268</v>
      </c>
      <c r="F27" s="24"/>
      <c r="G27" s="25"/>
      <c r="H27" s="29"/>
    </row>
    <row r="28" spans="1:8" ht="28.8" x14ac:dyDescent="0.55000000000000004">
      <c r="A28" s="24"/>
      <c r="B28" s="24"/>
      <c r="C28" s="24"/>
      <c r="D28" s="24"/>
      <c r="E28" s="24"/>
      <c r="F28" s="24"/>
      <c r="G28" s="24"/>
      <c r="H28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0B03-8F58-413D-ADC9-C7C9E2A58F43}">
  <dimension ref="A1:P11"/>
  <sheetViews>
    <sheetView workbookViewId="0">
      <selection activeCell="D20" sqref="D20"/>
    </sheetView>
  </sheetViews>
  <sheetFormatPr baseColWidth="10" defaultColWidth="11.44140625" defaultRowHeight="14.4" x14ac:dyDescent="0.3"/>
  <cols>
    <col min="1" max="1" width="2" bestFit="1" customWidth="1"/>
    <col min="2" max="2" width="18.44140625" bestFit="1" customWidth="1"/>
  </cols>
  <sheetData>
    <row r="1" spans="1:16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6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5">
        <f>F2/26/7</f>
        <v>4656.2771428571423</v>
      </c>
      <c r="F2" s="36">
        <v>847442.44</v>
      </c>
      <c r="G2" s="38">
        <v>423721.22</v>
      </c>
      <c r="H2" s="39">
        <v>32592</v>
      </c>
      <c r="I2" s="2">
        <v>167253</v>
      </c>
      <c r="J2" s="2">
        <v>181191</v>
      </c>
      <c r="K2" s="1">
        <v>168048</v>
      </c>
      <c r="L2" s="1">
        <f>F2+H2+G2-I2-J2-K2-M2</f>
        <v>787263.65999999992</v>
      </c>
      <c r="M2" s="1">
        <v>0</v>
      </c>
      <c r="N2" s="5">
        <v>0</v>
      </c>
      <c r="O2" s="11">
        <f t="shared" ref="O2:O10" si="0">SUM(F2+H2+G2-M2)</f>
        <v>1303755.6599999999</v>
      </c>
      <c r="P2">
        <f>F2*1.0282</f>
        <v>871340.31680799997</v>
      </c>
    </row>
    <row r="3" spans="1:16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5">
        <f t="shared" ref="E3:E9" si="1">F3/26/7</f>
        <v>4548.3726373626369</v>
      </c>
      <c r="F3" s="36">
        <v>827803.82</v>
      </c>
      <c r="G3" s="38">
        <v>413901.91</v>
      </c>
      <c r="H3" s="39">
        <v>31836</v>
      </c>
      <c r="I3" s="2">
        <v>167253</v>
      </c>
      <c r="J3" s="2">
        <v>181191</v>
      </c>
      <c r="K3" s="1">
        <v>168048</v>
      </c>
      <c r="L3" s="1">
        <f t="shared" ref="L3:L10" si="2">F3+H3+G3-I3-J3-K3-M3</f>
        <v>757049.73</v>
      </c>
      <c r="M3" s="1">
        <v>0</v>
      </c>
      <c r="N3" s="5">
        <v>0</v>
      </c>
      <c r="O3" s="11">
        <f t="shared" si="0"/>
        <v>1273541.73</v>
      </c>
      <c r="P3">
        <f t="shared" ref="P3:P10" si="3">F3*1.0282</f>
        <v>851147.88772399991</v>
      </c>
    </row>
    <row r="4" spans="1:16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5">
        <f>F4/26/8</f>
        <v>4763.334230769231</v>
      </c>
      <c r="F4" s="36">
        <v>990773.52</v>
      </c>
      <c r="G4" s="38">
        <v>495386.76</v>
      </c>
      <c r="H4" s="39">
        <v>38104</v>
      </c>
      <c r="I4" s="2">
        <v>167253</v>
      </c>
      <c r="J4" s="2">
        <v>181191</v>
      </c>
      <c r="K4" s="1">
        <v>168048</v>
      </c>
      <c r="L4" s="1">
        <f t="shared" si="2"/>
        <v>1007772.28</v>
      </c>
      <c r="M4" s="1">
        <v>0</v>
      </c>
      <c r="N4" s="5">
        <v>0</v>
      </c>
      <c r="O4" s="11">
        <f t="shared" si="0"/>
        <v>1524264.28</v>
      </c>
      <c r="P4">
        <f t="shared" si="3"/>
        <v>1018713.333264</v>
      </c>
    </row>
    <row r="5" spans="1:16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5">
        <f t="shared" si="1"/>
        <v>4761.921868131868</v>
      </c>
      <c r="F5" s="36">
        <v>866669.78</v>
      </c>
      <c r="G5" s="38">
        <v>433334.89</v>
      </c>
      <c r="H5" s="39">
        <v>33334</v>
      </c>
      <c r="I5" s="2">
        <v>167253</v>
      </c>
      <c r="J5" s="2">
        <v>181191</v>
      </c>
      <c r="K5" s="1">
        <v>168048</v>
      </c>
      <c r="L5" s="1">
        <f t="shared" si="2"/>
        <v>816846.66999999993</v>
      </c>
      <c r="M5" s="1">
        <v>0</v>
      </c>
      <c r="N5" s="5">
        <v>0</v>
      </c>
      <c r="O5" s="11">
        <f t="shared" si="0"/>
        <v>1333338.67</v>
      </c>
      <c r="P5">
        <f t="shared" si="3"/>
        <v>891109.86779599998</v>
      </c>
    </row>
    <row r="6" spans="1:16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5">
        <f>F6/26/8</f>
        <v>11194.5275</v>
      </c>
      <c r="F6" s="36">
        <v>2328461.7200000002</v>
      </c>
      <c r="G6" s="38">
        <v>1164231</v>
      </c>
      <c r="H6" s="39">
        <v>89560</v>
      </c>
      <c r="I6" s="2"/>
      <c r="J6" s="2">
        <v>1200000</v>
      </c>
      <c r="K6" s="1">
        <v>600000</v>
      </c>
      <c r="L6" s="1">
        <f t="shared" si="2"/>
        <v>1782252.7200000002</v>
      </c>
      <c r="M6" s="1">
        <v>0</v>
      </c>
      <c r="N6" s="5">
        <v>0</v>
      </c>
      <c r="O6" s="11">
        <f t="shared" si="0"/>
        <v>3582252.72</v>
      </c>
      <c r="P6">
        <f t="shared" si="3"/>
        <v>2394124.3405040004</v>
      </c>
    </row>
    <row r="7" spans="1:16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5">
        <f>F7/26/6</f>
        <v>3545.9717948717948</v>
      </c>
      <c r="F7" s="36">
        <v>553171.6</v>
      </c>
      <c r="G7" s="38">
        <v>184390</v>
      </c>
      <c r="H7" s="39">
        <v>21276</v>
      </c>
      <c r="I7" s="2">
        <v>150547</v>
      </c>
      <c r="J7" s="2">
        <v>163092</v>
      </c>
      <c r="K7" s="1">
        <v>151262</v>
      </c>
      <c r="L7" s="1">
        <f t="shared" si="2"/>
        <v>293936.59999999998</v>
      </c>
      <c r="M7" s="1">
        <v>0</v>
      </c>
      <c r="N7" s="5">
        <v>0</v>
      </c>
      <c r="O7" s="11">
        <f t="shared" si="0"/>
        <v>758837.6</v>
      </c>
      <c r="P7">
        <f t="shared" si="3"/>
        <v>568771.03911999997</v>
      </c>
    </row>
    <row r="8" spans="1:16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5">
        <f>F8/26/6</f>
        <v>3545.9717948717948</v>
      </c>
      <c r="F8" s="36">
        <v>553171.6</v>
      </c>
      <c r="G8" s="38">
        <v>234034</v>
      </c>
      <c r="H8" s="39">
        <v>21276</v>
      </c>
      <c r="I8" s="2">
        <v>150547</v>
      </c>
      <c r="J8" s="2">
        <v>163092</v>
      </c>
      <c r="K8" s="1">
        <v>151262</v>
      </c>
      <c r="L8" s="1">
        <f t="shared" si="2"/>
        <v>258476.59999999998</v>
      </c>
      <c r="M8" s="1">
        <v>85104</v>
      </c>
      <c r="N8" s="5">
        <v>0</v>
      </c>
      <c r="O8" s="11">
        <f t="shared" si="0"/>
        <v>723377.6</v>
      </c>
      <c r="P8">
        <f t="shared" si="3"/>
        <v>568771.03911999997</v>
      </c>
    </row>
    <row r="9" spans="1:16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5">
        <f t="shared" si="1"/>
        <v>4410.5260439560434</v>
      </c>
      <c r="F9" s="44">
        <v>802715.74</v>
      </c>
      <c r="G9" s="38">
        <v>133786</v>
      </c>
      <c r="H9" s="39">
        <v>30877</v>
      </c>
      <c r="I9" s="2">
        <v>150547</v>
      </c>
      <c r="J9" s="2">
        <v>163092</v>
      </c>
      <c r="K9" s="1">
        <v>151262</v>
      </c>
      <c r="L9" s="1">
        <f t="shared" si="2"/>
        <v>502477.74</v>
      </c>
      <c r="M9" s="1">
        <v>0</v>
      </c>
      <c r="N9" s="5">
        <v>0</v>
      </c>
      <c r="O9" s="11">
        <f t="shared" si="0"/>
        <v>967378.74</v>
      </c>
      <c r="P9">
        <f t="shared" si="3"/>
        <v>825352.32386799995</v>
      </c>
    </row>
    <row r="10" spans="1:16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5">
        <f>F10/26/8</f>
        <v>3544.8183653846154</v>
      </c>
      <c r="F10" s="44">
        <v>737322.22</v>
      </c>
      <c r="G10" s="38">
        <v>122887</v>
      </c>
      <c r="H10" s="39">
        <v>28360</v>
      </c>
      <c r="I10" s="2">
        <v>150547</v>
      </c>
      <c r="J10" s="2">
        <v>163092</v>
      </c>
      <c r="K10" s="1">
        <v>151262</v>
      </c>
      <c r="L10" s="1">
        <f t="shared" si="2"/>
        <v>423668.22</v>
      </c>
      <c r="M10" s="1">
        <v>0</v>
      </c>
      <c r="N10" s="5">
        <v>0</v>
      </c>
      <c r="O10" s="11">
        <f t="shared" si="0"/>
        <v>888569.22</v>
      </c>
      <c r="P10">
        <f t="shared" si="3"/>
        <v>758114.70660399995</v>
      </c>
    </row>
    <row r="11" spans="1:16" ht="15" thickBot="1" x14ac:dyDescent="0.35">
      <c r="A11" s="51"/>
      <c r="B11" s="52" t="s">
        <v>5</v>
      </c>
      <c r="C11" s="53"/>
      <c r="D11" s="53"/>
      <c r="E11" s="53"/>
      <c r="F11" s="53">
        <f t="shared" ref="F11:O11" si="4">SUM(F2:F10)</f>
        <v>8507532.4399999995</v>
      </c>
      <c r="G11" s="53">
        <f t="shared" si="4"/>
        <v>3605672.78</v>
      </c>
      <c r="H11" s="53">
        <f t="shared" si="4"/>
        <v>327215</v>
      </c>
      <c r="I11" s="53">
        <f t="shared" si="4"/>
        <v>1271200</v>
      </c>
      <c r="J11" s="53">
        <f t="shared" si="4"/>
        <v>2577132</v>
      </c>
      <c r="K11" s="53">
        <f t="shared" si="4"/>
        <v>1877240</v>
      </c>
      <c r="L11" s="53">
        <f t="shared" si="4"/>
        <v>6629744.2199999997</v>
      </c>
      <c r="M11" s="53">
        <f t="shared" si="4"/>
        <v>85104</v>
      </c>
      <c r="N11" s="53">
        <f t="shared" si="4"/>
        <v>0</v>
      </c>
      <c r="O11" s="53">
        <f t="shared" si="4"/>
        <v>12355316.220000001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0A43-8C25-4849-A628-2EF4F03B3129}">
  <sheetPr>
    <pageSetUpPr fitToPage="1"/>
  </sheetPr>
  <dimension ref="A1:H28"/>
  <sheetViews>
    <sheetView workbookViewId="0">
      <selection activeCell="B7" sqref="B7"/>
    </sheetView>
  </sheetViews>
  <sheetFormatPr baseColWidth="10" defaultColWidth="11.44140625" defaultRowHeight="14.4" x14ac:dyDescent="0.3"/>
  <cols>
    <col min="1" max="1" width="16.44140625" bestFit="1" customWidth="1"/>
    <col min="2" max="2" width="16.6640625" bestFit="1" customWidth="1"/>
    <col min="4" max="4" width="16.44140625" bestFit="1" customWidth="1"/>
    <col min="5" max="5" width="16.6640625" bestFit="1" customWidth="1"/>
    <col min="7" max="7" width="16.44140625" bestFit="1" customWidth="1"/>
    <col min="8" max="8" width="16.664062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847442</v>
      </c>
      <c r="C2" s="25"/>
      <c r="D2" s="24" t="s">
        <v>2</v>
      </c>
      <c r="E2" s="24">
        <v>827804</v>
      </c>
      <c r="G2" s="24" t="s">
        <v>2</v>
      </c>
      <c r="H2" s="24">
        <v>990774</v>
      </c>
    </row>
    <row r="3" spans="1:8" ht="28.8" x14ac:dyDescent="0.55000000000000004">
      <c r="A3" s="24" t="s">
        <v>3</v>
      </c>
      <c r="B3" s="24">
        <v>32592</v>
      </c>
      <c r="C3" s="24"/>
      <c r="D3" s="24" t="s">
        <v>3</v>
      </c>
      <c r="E3" s="24">
        <v>31836</v>
      </c>
      <c r="G3" s="24" t="s">
        <v>3</v>
      </c>
      <c r="H3" s="24">
        <v>38104</v>
      </c>
    </row>
    <row r="4" spans="1:8" ht="28.8" x14ac:dyDescent="0.55000000000000004">
      <c r="A4" s="24" t="s">
        <v>58</v>
      </c>
      <c r="B4" s="24">
        <v>423721</v>
      </c>
      <c r="C4" s="24"/>
      <c r="D4" s="24" t="s">
        <v>58</v>
      </c>
      <c r="E4" s="24">
        <v>413902</v>
      </c>
      <c r="G4" s="24" t="s">
        <v>58</v>
      </c>
      <c r="H4" s="24">
        <v>495387</v>
      </c>
    </row>
    <row r="5" spans="1:8" ht="29.4" thickBot="1" x14ac:dyDescent="0.6">
      <c r="A5" s="24"/>
      <c r="B5" s="24"/>
      <c r="C5" s="24"/>
      <c r="D5" s="24"/>
      <c r="E5" s="24"/>
    </row>
    <row r="6" spans="1:8" ht="29.4" thickBot="1" x14ac:dyDescent="0.6">
      <c r="A6" s="34" t="s">
        <v>5</v>
      </c>
      <c r="B6" s="34">
        <f>SUM(B2:B4)</f>
        <v>1303755</v>
      </c>
      <c r="C6" s="30"/>
      <c r="D6" s="34" t="s">
        <v>5</v>
      </c>
      <c r="E6" s="34">
        <f>SUM(E2:E4)</f>
        <v>1273542</v>
      </c>
      <c r="G6" s="34" t="s">
        <v>5</v>
      </c>
      <c r="H6" s="35">
        <f>SUM(H2:H4)</f>
        <v>1524265</v>
      </c>
    </row>
    <row r="7" spans="1:8" ht="28.8" x14ac:dyDescent="0.55000000000000004">
      <c r="A7" s="28" t="s">
        <v>6</v>
      </c>
      <c r="B7" s="28">
        <f>(B6-B8)</f>
        <v>516491</v>
      </c>
      <c r="C7" s="25"/>
      <c r="D7" s="28" t="s">
        <v>6</v>
      </c>
      <c r="E7" s="28">
        <f>(E6-E8)</f>
        <v>516492</v>
      </c>
      <c r="G7" s="28" t="s">
        <v>6</v>
      </c>
      <c r="H7" s="28">
        <f>(H6-H8)</f>
        <v>516493</v>
      </c>
    </row>
    <row r="8" spans="1:8" ht="28.8" x14ac:dyDescent="0.55000000000000004">
      <c r="A8" s="28" t="s">
        <v>7</v>
      </c>
      <c r="B8" s="28">
        <v>787264</v>
      </c>
      <c r="C8" s="25"/>
      <c r="D8" s="28" t="s">
        <v>7</v>
      </c>
      <c r="E8" s="28">
        <v>757050</v>
      </c>
      <c r="G8" s="28" t="s">
        <v>7</v>
      </c>
      <c r="H8" s="28">
        <v>1007772</v>
      </c>
    </row>
    <row r="9" spans="1:8" ht="28.8" x14ac:dyDescent="0.55000000000000004">
      <c r="A9" s="25"/>
      <c r="B9" s="29">
        <f>SUM(B7:B8)</f>
        <v>1303755</v>
      </c>
      <c r="C9" s="25"/>
      <c r="D9" s="25"/>
      <c r="E9" s="29">
        <f>SUM(E7:E8)</f>
        <v>1273542</v>
      </c>
      <c r="G9" s="25"/>
      <c r="H9" s="29">
        <f>SUM(H7:H8)</f>
        <v>1524265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866670</v>
      </c>
      <c r="C12" s="24"/>
      <c r="D12" s="24" t="s">
        <v>2</v>
      </c>
      <c r="E12" s="24">
        <v>553172</v>
      </c>
      <c r="F12" s="25"/>
      <c r="G12" s="24" t="s">
        <v>2</v>
      </c>
      <c r="H12" s="24">
        <v>468071</v>
      </c>
    </row>
    <row r="13" spans="1:8" ht="28.8" x14ac:dyDescent="0.55000000000000004">
      <c r="A13" s="24" t="s">
        <v>3</v>
      </c>
      <c r="B13" s="24">
        <v>33334</v>
      </c>
      <c r="C13" s="24"/>
      <c r="D13" s="24" t="s">
        <v>3</v>
      </c>
      <c r="E13" s="24">
        <v>21276</v>
      </c>
      <c r="F13" s="24"/>
      <c r="G13" s="24" t="s">
        <v>3</v>
      </c>
      <c r="H13" s="24">
        <v>21276</v>
      </c>
    </row>
    <row r="14" spans="1:8" ht="29.4" thickBot="1" x14ac:dyDescent="0.6">
      <c r="A14" s="24" t="s">
        <v>58</v>
      </c>
      <c r="B14" s="24">
        <v>433335</v>
      </c>
      <c r="C14" s="24"/>
      <c r="D14" s="24" t="s">
        <v>58</v>
      </c>
      <c r="E14" s="24">
        <v>184390</v>
      </c>
      <c r="F14" s="24"/>
      <c r="G14" s="24" t="s">
        <v>58</v>
      </c>
      <c r="H14" s="24">
        <v>234036</v>
      </c>
    </row>
    <row r="15" spans="1:8" ht="29.4" thickBot="1" x14ac:dyDescent="0.6">
      <c r="A15" s="33" t="s">
        <v>5</v>
      </c>
      <c r="B15" s="34">
        <f>SUM(B12:B14)</f>
        <v>1333339</v>
      </c>
      <c r="C15" s="31"/>
      <c r="D15" s="34" t="s">
        <v>5</v>
      </c>
      <c r="E15" s="34">
        <f>SUM(E12:E14)</f>
        <v>758838</v>
      </c>
      <c r="F15" s="30"/>
      <c r="G15" s="34" t="s">
        <v>5</v>
      </c>
      <c r="H15" s="32">
        <f>SUM(H12:H14)</f>
        <v>723383</v>
      </c>
    </row>
    <row r="16" spans="1:8" ht="28.8" x14ac:dyDescent="0.55000000000000004">
      <c r="A16" s="28" t="s">
        <v>6</v>
      </c>
      <c r="B16" s="28">
        <f>(B15-B17)</f>
        <v>516492</v>
      </c>
      <c r="C16" s="24"/>
      <c r="D16" s="28" t="s">
        <v>6</v>
      </c>
      <c r="E16" s="28">
        <f>(E15-E17)</f>
        <v>464901</v>
      </c>
      <c r="F16" s="25"/>
      <c r="G16" s="28" t="s">
        <v>6</v>
      </c>
      <c r="H16" s="28">
        <f>(H15-H17)</f>
        <v>464901</v>
      </c>
    </row>
    <row r="17" spans="1:8" ht="28.8" x14ac:dyDescent="0.55000000000000004">
      <c r="A17" s="28" t="s">
        <v>7</v>
      </c>
      <c r="B17" s="28">
        <v>816847</v>
      </c>
      <c r="C17" s="24"/>
      <c r="D17" s="28" t="s">
        <v>7</v>
      </c>
      <c r="E17" s="28">
        <v>293937</v>
      </c>
      <c r="F17" s="25"/>
      <c r="G17" s="28" t="s">
        <v>7</v>
      </c>
      <c r="H17" s="28">
        <v>258482</v>
      </c>
    </row>
    <row r="18" spans="1:8" ht="28.8" x14ac:dyDescent="0.55000000000000004">
      <c r="A18" s="25"/>
      <c r="B18" s="29">
        <f>SUM(B16:B17)</f>
        <v>1333339</v>
      </c>
      <c r="C18" s="24"/>
      <c r="D18" s="25"/>
      <c r="E18" s="29">
        <f>SUM(E16:E17)</f>
        <v>758838</v>
      </c>
      <c r="F18" s="25"/>
      <c r="G18" s="25"/>
      <c r="H18" s="29">
        <f>SUM(H16:H17)</f>
        <v>723383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802716</v>
      </c>
      <c r="C21" s="24"/>
      <c r="D21" s="24" t="s">
        <v>2</v>
      </c>
      <c r="E21" s="24">
        <v>737322</v>
      </c>
      <c r="F21" s="25"/>
      <c r="G21" s="24"/>
      <c r="H21" s="24"/>
    </row>
    <row r="22" spans="1:8" ht="28.8" x14ac:dyDescent="0.55000000000000004">
      <c r="A22" s="24" t="s">
        <v>3</v>
      </c>
      <c r="B22" s="24">
        <v>30877</v>
      </c>
      <c r="C22" s="24"/>
      <c r="D22" s="24" t="s">
        <v>3</v>
      </c>
      <c r="E22" s="24">
        <v>28360</v>
      </c>
      <c r="F22" s="25"/>
      <c r="G22" s="24"/>
      <c r="H22" s="24"/>
    </row>
    <row r="23" spans="1:8" ht="29.4" thickBot="1" x14ac:dyDescent="0.6">
      <c r="A23" s="24" t="s">
        <v>58</v>
      </c>
      <c r="B23" s="24">
        <v>133786</v>
      </c>
      <c r="C23" s="24"/>
      <c r="D23" s="24" t="s">
        <v>58</v>
      </c>
      <c r="E23" s="24">
        <v>122887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967379</v>
      </c>
      <c r="C24" s="31"/>
      <c r="D24" s="34" t="s">
        <v>5</v>
      </c>
      <c r="E24" s="35">
        <f>SUM(E21:E23)</f>
        <v>888569</v>
      </c>
      <c r="F24" s="25"/>
      <c r="G24" s="24"/>
    </row>
    <row r="25" spans="1:8" ht="28.8" x14ac:dyDescent="0.55000000000000004">
      <c r="A25" s="28" t="s">
        <v>6</v>
      </c>
      <c r="B25" s="28">
        <f>(B24-B26)</f>
        <v>464901</v>
      </c>
      <c r="C25" s="24"/>
      <c r="D25" s="28" t="s">
        <v>6</v>
      </c>
      <c r="E25" s="28">
        <f>(E24-E26)</f>
        <v>464901</v>
      </c>
      <c r="F25" s="25"/>
      <c r="G25" s="28"/>
      <c r="H25" s="28"/>
    </row>
    <row r="26" spans="1:8" ht="28.8" x14ac:dyDescent="0.55000000000000004">
      <c r="A26" s="28" t="s">
        <v>7</v>
      </c>
      <c r="B26" s="28">
        <v>502478</v>
      </c>
      <c r="C26" s="24"/>
      <c r="D26" s="28" t="s">
        <v>7</v>
      </c>
      <c r="E26" s="28">
        <v>423668</v>
      </c>
      <c r="F26" s="24"/>
      <c r="G26" s="28"/>
      <c r="H26" s="28"/>
    </row>
    <row r="27" spans="1:8" ht="28.8" x14ac:dyDescent="0.55000000000000004">
      <c r="A27" s="25"/>
      <c r="B27" s="29">
        <f>SUM(B25:B26)</f>
        <v>967379</v>
      </c>
      <c r="C27" s="24"/>
      <c r="D27" s="25"/>
      <c r="E27" s="29">
        <f>SUM(E25:E26)</f>
        <v>888569</v>
      </c>
      <c r="F27" s="24"/>
      <c r="G27" s="25"/>
      <c r="H27" s="29"/>
    </row>
    <row r="28" spans="1:8" ht="28.8" x14ac:dyDescent="0.55000000000000004">
      <c r="A28" s="24"/>
      <c r="B28" s="24"/>
      <c r="C28" s="24"/>
      <c r="D28" s="24"/>
      <c r="E28" s="24"/>
      <c r="F28" s="24"/>
      <c r="G28" s="24"/>
      <c r="H28" s="24"/>
    </row>
  </sheetData>
  <pageMargins left="0.7" right="0.7" top="0.75" bottom="0.75" header="0.3" footer="0.3"/>
  <pageSetup paperSize="9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2B9-9AD0-4235-B597-6F65D2D265E6}">
  <dimension ref="A1:O11"/>
  <sheetViews>
    <sheetView workbookViewId="0">
      <selection activeCell="G17" sqref="G17"/>
    </sheetView>
  </sheetViews>
  <sheetFormatPr baseColWidth="10" defaultColWidth="11.44140625" defaultRowHeight="14.4" x14ac:dyDescent="0.3"/>
  <cols>
    <col min="2" max="2" width="18.44140625" bestFit="1" customWidth="1"/>
    <col min="4" max="4" width="3.33203125" bestFit="1" customWidth="1"/>
  </cols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5">
        <f>F2/26/7</f>
        <v>4749.4505494505493</v>
      </c>
      <c r="F2" s="36">
        <v>864400</v>
      </c>
      <c r="G2" s="38">
        <v>0</v>
      </c>
      <c r="H2" s="39">
        <v>33250</v>
      </c>
      <c r="I2" s="2">
        <v>179712</v>
      </c>
      <c r="J2" s="2">
        <v>200334</v>
      </c>
      <c r="K2" s="1">
        <v>0</v>
      </c>
      <c r="L2" s="1">
        <f>F2+H2+G2-I2-J2-K2-M2</f>
        <v>517604</v>
      </c>
      <c r="M2" s="1">
        <v>0</v>
      </c>
      <c r="N2" s="5">
        <v>0</v>
      </c>
      <c r="O2" s="11">
        <f t="shared" ref="O2:O10" si="0">SUM(F2+H2+G2-M2)</f>
        <v>897650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5">
        <f t="shared" ref="E3:E9" si="1">F3/26/7</f>
        <v>4639.5604395604396</v>
      </c>
      <c r="F3" s="36">
        <v>844400</v>
      </c>
      <c r="G3" s="38">
        <v>0</v>
      </c>
      <c r="H3" s="39">
        <v>32480</v>
      </c>
      <c r="I3" s="2">
        <v>179712</v>
      </c>
      <c r="J3" s="2">
        <v>200334</v>
      </c>
      <c r="K3" s="1">
        <v>0</v>
      </c>
      <c r="L3" s="1">
        <f t="shared" ref="L3:L10" si="2">F3+H3+G3-I3-J3-K3-M3</f>
        <v>496834</v>
      </c>
      <c r="M3" s="1">
        <v>0</v>
      </c>
      <c r="N3" s="5">
        <v>0</v>
      </c>
      <c r="O3" s="11">
        <f t="shared" si="0"/>
        <v>876880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5">
        <f>F4/26/8</f>
        <v>4858.6538461538457</v>
      </c>
      <c r="F4" s="36">
        <v>1010600</v>
      </c>
      <c r="G4" s="38">
        <v>0</v>
      </c>
      <c r="H4" s="39">
        <v>38900</v>
      </c>
      <c r="I4" s="2">
        <v>179712</v>
      </c>
      <c r="J4" s="2">
        <v>200334</v>
      </c>
      <c r="K4" s="1">
        <v>0</v>
      </c>
      <c r="L4" s="1">
        <f t="shared" si="2"/>
        <v>669454</v>
      </c>
      <c r="M4" s="1">
        <v>0</v>
      </c>
      <c r="N4" s="5">
        <v>0</v>
      </c>
      <c r="O4" s="11">
        <f t="shared" si="0"/>
        <v>1049500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5">
        <f t="shared" si="1"/>
        <v>4857.1428571428569</v>
      </c>
      <c r="F5" s="36">
        <v>884000</v>
      </c>
      <c r="G5" s="38">
        <v>0</v>
      </c>
      <c r="H5" s="39">
        <v>34000</v>
      </c>
      <c r="I5" s="2">
        <v>179712</v>
      </c>
      <c r="J5" s="2">
        <v>200334</v>
      </c>
      <c r="K5" s="1">
        <v>0</v>
      </c>
      <c r="L5" s="1">
        <f t="shared" si="2"/>
        <v>537954</v>
      </c>
      <c r="M5" s="1">
        <v>0</v>
      </c>
      <c r="N5" s="5">
        <v>0</v>
      </c>
      <c r="O5" s="11">
        <f t="shared" si="0"/>
        <v>918000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5">
        <f>F6/26/8</f>
        <v>11418.26923076923</v>
      </c>
      <c r="F6" s="36">
        <v>2375000</v>
      </c>
      <c r="G6" s="38">
        <v>0</v>
      </c>
      <c r="H6" s="39">
        <v>91350</v>
      </c>
      <c r="I6" s="2">
        <v>0</v>
      </c>
      <c r="J6" s="2">
        <v>1200000</v>
      </c>
      <c r="K6" s="1">
        <v>0</v>
      </c>
      <c r="L6" s="1">
        <f t="shared" si="2"/>
        <v>1266350</v>
      </c>
      <c r="M6" s="1">
        <v>0</v>
      </c>
      <c r="N6" s="5">
        <v>0</v>
      </c>
      <c r="O6" s="11">
        <f t="shared" si="0"/>
        <v>2466350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5">
        <f>F7/26/6</f>
        <v>3617.3076923076919</v>
      </c>
      <c r="F7" s="36">
        <v>564300</v>
      </c>
      <c r="G7" s="38">
        <v>0</v>
      </c>
      <c r="H7" s="39">
        <v>21700</v>
      </c>
      <c r="I7" s="2">
        <v>161760</v>
      </c>
      <c r="J7" s="2">
        <v>180322</v>
      </c>
      <c r="K7" s="1">
        <v>0</v>
      </c>
      <c r="L7" s="1">
        <f t="shared" si="2"/>
        <v>243918</v>
      </c>
      <c r="M7" s="1">
        <v>0</v>
      </c>
      <c r="N7" s="5">
        <v>0</v>
      </c>
      <c r="O7" s="11">
        <f t="shared" si="0"/>
        <v>586000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5">
        <f>F8/26/6</f>
        <v>3617.3076923076919</v>
      </c>
      <c r="F8" s="36">
        <v>564300</v>
      </c>
      <c r="G8" s="38">
        <v>0</v>
      </c>
      <c r="H8" s="39">
        <v>21700</v>
      </c>
      <c r="I8" s="2">
        <v>161760</v>
      </c>
      <c r="J8" s="2">
        <v>180322</v>
      </c>
      <c r="K8" s="1">
        <v>0</v>
      </c>
      <c r="L8" s="1">
        <f t="shared" si="2"/>
        <v>243918</v>
      </c>
      <c r="M8" s="1">
        <v>0</v>
      </c>
      <c r="N8" s="5">
        <v>0</v>
      </c>
      <c r="O8" s="11">
        <f t="shared" si="0"/>
        <v>586000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5">
        <f t="shared" si="1"/>
        <v>4498.7362637362639</v>
      </c>
      <c r="F9" s="36">
        <v>818770</v>
      </c>
      <c r="G9" s="38">
        <v>0</v>
      </c>
      <c r="H9" s="39">
        <v>31500</v>
      </c>
      <c r="I9" s="2">
        <v>161760</v>
      </c>
      <c r="J9" s="2">
        <v>180322</v>
      </c>
      <c r="K9" s="1">
        <v>0</v>
      </c>
      <c r="L9" s="1">
        <f t="shared" si="2"/>
        <v>508188</v>
      </c>
      <c r="M9" s="1">
        <v>0</v>
      </c>
      <c r="N9" s="5">
        <v>0</v>
      </c>
      <c r="O9" s="11">
        <f t="shared" si="0"/>
        <v>850270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5">
        <f>F10/26/8</f>
        <v>3615.8653846153848</v>
      </c>
      <c r="F10" s="36">
        <v>752100</v>
      </c>
      <c r="G10" s="38">
        <v>0</v>
      </c>
      <c r="H10" s="39">
        <v>29000</v>
      </c>
      <c r="I10" s="2">
        <v>161760</v>
      </c>
      <c r="J10" s="2">
        <v>180322</v>
      </c>
      <c r="K10" s="1">
        <v>0</v>
      </c>
      <c r="L10" s="1">
        <f t="shared" si="2"/>
        <v>439018</v>
      </c>
      <c r="M10" s="1">
        <v>0</v>
      </c>
      <c r="N10" s="5">
        <v>0</v>
      </c>
      <c r="O10" s="11">
        <f t="shared" si="0"/>
        <v>781100</v>
      </c>
    </row>
    <row r="11" spans="1:15" ht="15" thickBot="1" x14ac:dyDescent="0.35">
      <c r="A11" s="51"/>
      <c r="B11" s="52" t="s">
        <v>5</v>
      </c>
      <c r="C11" s="53"/>
      <c r="D11" s="53"/>
      <c r="E11" s="53"/>
      <c r="F11" s="53">
        <f t="shared" ref="F11:O11" si="3">SUM(F2:F10)</f>
        <v>8677870</v>
      </c>
      <c r="G11" s="53">
        <f t="shared" si="3"/>
        <v>0</v>
      </c>
      <c r="H11" s="53">
        <f t="shared" si="3"/>
        <v>333880</v>
      </c>
      <c r="I11" s="53">
        <f t="shared" si="3"/>
        <v>1365888</v>
      </c>
      <c r="J11" s="53">
        <f t="shared" si="3"/>
        <v>2722624</v>
      </c>
      <c r="K11" s="53">
        <f t="shared" si="3"/>
        <v>0</v>
      </c>
      <c r="L11" s="53">
        <f t="shared" si="3"/>
        <v>4923238</v>
      </c>
      <c r="M11" s="53">
        <f t="shared" si="3"/>
        <v>0</v>
      </c>
      <c r="N11" s="53">
        <f t="shared" si="3"/>
        <v>0</v>
      </c>
      <c r="O11" s="53">
        <f t="shared" si="3"/>
        <v>9011750</v>
      </c>
    </row>
  </sheetData>
  <pageMargins left="0.7" right="0.7" top="0.75" bottom="0.75" header="0.3" footer="0.3"/>
  <ignoredErrors>
    <ignoredError sqref="E4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C7E2-09D4-487D-82F9-B5AF488246C6}">
  <sheetPr>
    <pageSetUpPr fitToPage="1"/>
  </sheetPr>
  <dimension ref="A1:H27"/>
  <sheetViews>
    <sheetView workbookViewId="0">
      <selection sqref="A1:H27"/>
    </sheetView>
  </sheetViews>
  <sheetFormatPr baseColWidth="10" defaultColWidth="11.44140625" defaultRowHeight="14.4" x14ac:dyDescent="0.3"/>
  <cols>
    <col min="1" max="1" width="16.5546875" bestFit="1" customWidth="1"/>
    <col min="2" max="2" width="16.6640625" bestFit="1" customWidth="1"/>
    <col min="4" max="4" width="16.5546875" bestFit="1" customWidth="1"/>
    <col min="5" max="5" width="16.6640625" bestFit="1" customWidth="1"/>
    <col min="7" max="7" width="16.5546875" bestFit="1" customWidth="1"/>
    <col min="8" max="8" width="16.664062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864400</v>
      </c>
      <c r="C2" s="25"/>
      <c r="D2" s="24" t="s">
        <v>2</v>
      </c>
      <c r="E2" s="24">
        <v>844400</v>
      </c>
      <c r="G2" s="24" t="s">
        <v>2</v>
      </c>
      <c r="H2" s="24">
        <v>1010600</v>
      </c>
    </row>
    <row r="3" spans="1:8" ht="28.8" x14ac:dyDescent="0.55000000000000004">
      <c r="A3" s="24" t="s">
        <v>3</v>
      </c>
      <c r="B3" s="24">
        <v>33250</v>
      </c>
      <c r="C3" s="24"/>
      <c r="D3" s="24" t="s">
        <v>3</v>
      </c>
      <c r="E3" s="24">
        <v>32480</v>
      </c>
      <c r="G3" s="24" t="s">
        <v>3</v>
      </c>
      <c r="H3" s="24">
        <v>38900</v>
      </c>
    </row>
    <row r="4" spans="1:8" ht="28.8" x14ac:dyDescent="0.55000000000000004">
      <c r="A4" s="24" t="s">
        <v>58</v>
      </c>
      <c r="B4" s="24">
        <v>0</v>
      </c>
      <c r="C4" s="24"/>
      <c r="D4" s="24" t="s">
        <v>58</v>
      </c>
      <c r="E4" s="24">
        <v>0</v>
      </c>
      <c r="G4" s="24" t="s">
        <v>58</v>
      </c>
      <c r="H4" s="24">
        <v>0</v>
      </c>
    </row>
    <row r="5" spans="1:8" ht="29.4" thickBot="1" x14ac:dyDescent="0.6">
      <c r="A5" s="24"/>
      <c r="B5" s="24"/>
      <c r="C5" s="24"/>
      <c r="D5" s="24"/>
      <c r="E5" s="24"/>
    </row>
    <row r="6" spans="1:8" ht="29.4" thickBot="1" x14ac:dyDescent="0.6">
      <c r="A6" s="34" t="s">
        <v>5</v>
      </c>
      <c r="B6" s="34">
        <f>SUM(B2:B4)</f>
        <v>897650</v>
      </c>
      <c r="C6" s="30"/>
      <c r="D6" s="34" t="s">
        <v>5</v>
      </c>
      <c r="E6" s="34">
        <f>SUM(E2:E4)</f>
        <v>876880</v>
      </c>
      <c r="G6" s="34" t="s">
        <v>5</v>
      </c>
      <c r="H6" s="35">
        <f>SUM(H2:H4)</f>
        <v>1049500</v>
      </c>
    </row>
    <row r="7" spans="1:8" ht="28.8" x14ac:dyDescent="0.55000000000000004">
      <c r="A7" s="28" t="s">
        <v>6</v>
      </c>
      <c r="B7" s="28">
        <f>(B6-B8)</f>
        <v>380046</v>
      </c>
      <c r="C7" s="25"/>
      <c r="D7" s="28" t="s">
        <v>6</v>
      </c>
      <c r="E7" s="28">
        <f>(E6-E8)</f>
        <v>380046</v>
      </c>
      <c r="G7" s="28" t="s">
        <v>6</v>
      </c>
      <c r="H7" s="28">
        <f>(H6-H8)</f>
        <v>380046</v>
      </c>
    </row>
    <row r="8" spans="1:8" ht="28.8" x14ac:dyDescent="0.55000000000000004">
      <c r="A8" s="28" t="s">
        <v>7</v>
      </c>
      <c r="B8" s="28">
        <v>517604</v>
      </c>
      <c r="C8" s="25"/>
      <c r="D8" s="28" t="s">
        <v>7</v>
      </c>
      <c r="E8" s="28">
        <v>496834</v>
      </c>
      <c r="G8" s="28" t="s">
        <v>7</v>
      </c>
      <c r="H8" s="28">
        <v>669454</v>
      </c>
    </row>
    <row r="9" spans="1:8" ht="28.8" x14ac:dyDescent="0.55000000000000004">
      <c r="A9" s="25"/>
      <c r="B9" s="29">
        <f>SUM(B7:B8)</f>
        <v>897650</v>
      </c>
      <c r="C9" s="25"/>
      <c r="D9" s="25"/>
      <c r="E9" s="29">
        <f>SUM(E7:E8)</f>
        <v>876880</v>
      </c>
      <c r="G9" s="25"/>
      <c r="H9" s="29">
        <f>SUM(H7:H8)</f>
        <v>1049500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884000</v>
      </c>
      <c r="C12" s="24"/>
      <c r="D12" s="24" t="s">
        <v>2</v>
      </c>
      <c r="E12" s="24">
        <v>564300</v>
      </c>
      <c r="F12" s="25"/>
      <c r="G12" s="24" t="s">
        <v>2</v>
      </c>
      <c r="H12" s="24">
        <v>564300</v>
      </c>
    </row>
    <row r="13" spans="1:8" ht="28.8" x14ac:dyDescent="0.55000000000000004">
      <c r="A13" s="24" t="s">
        <v>3</v>
      </c>
      <c r="B13" s="24">
        <v>34000</v>
      </c>
      <c r="C13" s="24"/>
      <c r="D13" s="24" t="s">
        <v>3</v>
      </c>
      <c r="E13" s="24">
        <v>21700</v>
      </c>
      <c r="F13" s="24"/>
      <c r="G13" s="24" t="s">
        <v>3</v>
      </c>
      <c r="H13" s="24">
        <v>21700</v>
      </c>
    </row>
    <row r="14" spans="1:8" ht="29.4" thickBot="1" x14ac:dyDescent="0.6">
      <c r="A14" s="24" t="s">
        <v>58</v>
      </c>
      <c r="B14" s="24">
        <v>0</v>
      </c>
      <c r="C14" s="24"/>
      <c r="D14" s="24" t="s">
        <v>58</v>
      </c>
      <c r="E14" s="24">
        <v>0</v>
      </c>
      <c r="F14" s="24"/>
      <c r="G14" s="24" t="s">
        <v>58</v>
      </c>
      <c r="H14" s="24">
        <v>0</v>
      </c>
    </row>
    <row r="15" spans="1:8" ht="29.4" thickBot="1" x14ac:dyDescent="0.6">
      <c r="A15" s="33" t="s">
        <v>5</v>
      </c>
      <c r="B15" s="34">
        <f>SUM(B12:B14)</f>
        <v>918000</v>
      </c>
      <c r="C15" s="31"/>
      <c r="D15" s="34" t="s">
        <v>5</v>
      </c>
      <c r="E15" s="34">
        <f>SUM(E12:E14)</f>
        <v>586000</v>
      </c>
      <c r="F15" s="30"/>
      <c r="G15" s="34" t="s">
        <v>5</v>
      </c>
      <c r="H15" s="32">
        <f>SUM(H12:H14)</f>
        <v>586000</v>
      </c>
    </row>
    <row r="16" spans="1:8" ht="28.8" x14ac:dyDescent="0.55000000000000004">
      <c r="A16" s="28" t="s">
        <v>6</v>
      </c>
      <c r="B16" s="28">
        <f>(B15-B17)</f>
        <v>380046</v>
      </c>
      <c r="C16" s="24"/>
      <c r="D16" s="28" t="s">
        <v>6</v>
      </c>
      <c r="E16" s="28">
        <f>(E15-E17)</f>
        <v>342082</v>
      </c>
      <c r="F16" s="25"/>
      <c r="G16" s="28" t="s">
        <v>6</v>
      </c>
      <c r="H16" s="28">
        <f>(H15-H17)</f>
        <v>342082</v>
      </c>
    </row>
    <row r="17" spans="1:8" ht="28.8" x14ac:dyDescent="0.55000000000000004">
      <c r="A17" s="28" t="s">
        <v>7</v>
      </c>
      <c r="B17" s="28">
        <v>537954</v>
      </c>
      <c r="C17" s="24"/>
      <c r="D17" s="28" t="s">
        <v>7</v>
      </c>
      <c r="E17" s="28">
        <v>243918</v>
      </c>
      <c r="F17" s="25"/>
      <c r="G17" s="28" t="s">
        <v>7</v>
      </c>
      <c r="H17" s="28">
        <v>243918</v>
      </c>
    </row>
    <row r="18" spans="1:8" ht="28.8" x14ac:dyDescent="0.55000000000000004">
      <c r="A18" s="25"/>
      <c r="B18" s="29">
        <f>SUM(B16:B17)</f>
        <v>918000</v>
      </c>
      <c r="C18" s="24"/>
      <c r="D18" s="25"/>
      <c r="E18" s="29">
        <f>SUM(E16:E17)</f>
        <v>586000</v>
      </c>
      <c r="F18" s="25"/>
      <c r="G18" s="25"/>
      <c r="H18" s="29">
        <f>SUM(H16:H17)</f>
        <v>586000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818770</v>
      </c>
      <c r="C21" s="24"/>
      <c r="D21" s="24" t="s">
        <v>2</v>
      </c>
      <c r="E21" s="24">
        <v>752100</v>
      </c>
      <c r="F21" s="25"/>
      <c r="G21" s="24"/>
      <c r="H21" s="24"/>
    </row>
    <row r="22" spans="1:8" ht="28.8" x14ac:dyDescent="0.55000000000000004">
      <c r="A22" s="24" t="s">
        <v>3</v>
      </c>
      <c r="B22" s="24">
        <v>31500</v>
      </c>
      <c r="C22" s="24"/>
      <c r="D22" s="24" t="s">
        <v>3</v>
      </c>
      <c r="E22" s="24">
        <v>29000</v>
      </c>
      <c r="F22" s="25"/>
      <c r="G22" s="24"/>
      <c r="H22" s="24"/>
    </row>
    <row r="23" spans="1:8" ht="29.4" thickBot="1" x14ac:dyDescent="0.6">
      <c r="A23" s="24" t="s">
        <v>58</v>
      </c>
      <c r="B23" s="24">
        <v>0</v>
      </c>
      <c r="C23" s="24"/>
      <c r="D23" s="24" t="s">
        <v>58</v>
      </c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850270</v>
      </c>
      <c r="C24" s="31"/>
      <c r="D24" s="34" t="s">
        <v>5</v>
      </c>
      <c r="E24" s="35">
        <f>SUM(E21:E23)</f>
        <v>781100</v>
      </c>
      <c r="F24" s="25"/>
      <c r="G24" s="24"/>
    </row>
    <row r="25" spans="1:8" ht="28.8" x14ac:dyDescent="0.55000000000000004">
      <c r="A25" s="28" t="s">
        <v>6</v>
      </c>
      <c r="B25" s="28">
        <f>(B24-B26)</f>
        <v>342082</v>
      </c>
      <c r="C25" s="24"/>
      <c r="D25" s="28" t="s">
        <v>6</v>
      </c>
      <c r="E25" s="28">
        <f>(E24-E26)</f>
        <v>342082</v>
      </c>
      <c r="F25" s="25"/>
      <c r="G25" s="28"/>
      <c r="H25" s="28"/>
    </row>
    <row r="26" spans="1:8" ht="28.8" x14ac:dyDescent="0.55000000000000004">
      <c r="A26" s="28" t="s">
        <v>7</v>
      </c>
      <c r="B26" s="28">
        <v>508188</v>
      </c>
      <c r="C26" s="24"/>
      <c r="D26" s="28" t="s">
        <v>7</v>
      </c>
      <c r="E26" s="28">
        <v>439018</v>
      </c>
      <c r="F26" s="24"/>
      <c r="G26" s="28"/>
      <c r="H26" s="28"/>
    </row>
    <row r="27" spans="1:8" ht="28.8" x14ac:dyDescent="0.55000000000000004">
      <c r="A27" s="25"/>
      <c r="B27" s="29">
        <f>SUM(B25:B26)</f>
        <v>850270</v>
      </c>
      <c r="C27" s="24"/>
      <c r="D27" s="25"/>
      <c r="E27" s="29">
        <f>SUM(E25:E26)</f>
        <v>781100</v>
      </c>
      <c r="F27" s="24"/>
      <c r="G27" s="25"/>
      <c r="H27" s="29"/>
    </row>
  </sheetData>
  <pageMargins left="0.7" right="0.7" top="0.75" bottom="0.75" header="0.3" footer="0.3"/>
  <pageSetup paperSize="9"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F61-A089-41FE-A9AD-8CD428BD98C8}">
  <dimension ref="A1:O11"/>
  <sheetViews>
    <sheetView workbookViewId="0">
      <selection activeCell="F2" sqref="F2"/>
    </sheetView>
  </sheetViews>
  <sheetFormatPr baseColWidth="10" defaultRowHeight="14.4" x14ac:dyDescent="0.3"/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5">
        <f>F2/26/7</f>
        <v>4844.5054945054944</v>
      </c>
      <c r="F2" s="36">
        <v>881700</v>
      </c>
      <c r="G2" s="36">
        <v>0</v>
      </c>
      <c r="H2" s="39">
        <v>33915</v>
      </c>
      <c r="I2" s="2">
        <v>185712</v>
      </c>
      <c r="J2" s="2">
        <v>185712</v>
      </c>
      <c r="K2" s="1">
        <v>0</v>
      </c>
      <c r="L2" s="1">
        <f>F2+H2+G2-I2-J2-K2-M2</f>
        <v>544191</v>
      </c>
      <c r="M2" s="1">
        <v>0</v>
      </c>
      <c r="N2" s="5">
        <v>0</v>
      </c>
      <c r="O2" s="11">
        <f t="shared" ref="O2:O10" si="0">SUM(F2+H2+G2-M2)</f>
        <v>915615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5">
        <f t="shared" ref="E3:E9" si="1">F3/26/7</f>
        <v>4732.4175824175827</v>
      </c>
      <c r="F3" s="36">
        <v>861300</v>
      </c>
      <c r="G3" s="36">
        <v>0</v>
      </c>
      <c r="H3" s="39">
        <v>0</v>
      </c>
      <c r="I3" s="2">
        <v>185712</v>
      </c>
      <c r="J3" s="2">
        <v>185712</v>
      </c>
      <c r="K3" s="1">
        <v>0</v>
      </c>
      <c r="L3" s="1">
        <f t="shared" ref="L3:L10" si="2">F3+H3+G3-I3-J3-K3-M3</f>
        <v>423628</v>
      </c>
      <c r="M3" s="1">
        <v>66248</v>
      </c>
      <c r="N3" s="5">
        <v>0</v>
      </c>
      <c r="O3" s="11">
        <f t="shared" si="0"/>
        <v>795052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5">
        <f>F4/26/8</f>
        <v>4956.25</v>
      </c>
      <c r="F4" s="36">
        <v>1030900</v>
      </c>
      <c r="G4" s="36">
        <v>0</v>
      </c>
      <c r="H4" s="39">
        <v>39648</v>
      </c>
      <c r="I4" s="2">
        <v>185712</v>
      </c>
      <c r="J4" s="2">
        <v>185712</v>
      </c>
      <c r="K4" s="1">
        <v>0</v>
      </c>
      <c r="L4" s="1">
        <f t="shared" si="2"/>
        <v>699124</v>
      </c>
      <c r="M4" s="1">
        <v>0</v>
      </c>
      <c r="N4" s="5">
        <v>0</v>
      </c>
      <c r="O4" s="11">
        <f t="shared" si="0"/>
        <v>1070548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5">
        <f t="shared" si="1"/>
        <v>4954.395604395605</v>
      </c>
      <c r="F5" s="36">
        <v>901700</v>
      </c>
      <c r="G5" s="36">
        <v>0</v>
      </c>
      <c r="H5" s="39">
        <v>34678</v>
      </c>
      <c r="I5" s="2">
        <v>185712</v>
      </c>
      <c r="J5" s="2">
        <v>185712</v>
      </c>
      <c r="K5" s="1">
        <v>0</v>
      </c>
      <c r="L5" s="1">
        <f t="shared" si="2"/>
        <v>564954</v>
      </c>
      <c r="M5" s="1">
        <v>0</v>
      </c>
      <c r="N5" s="5">
        <v>0</v>
      </c>
      <c r="O5" s="11">
        <f t="shared" si="0"/>
        <v>936378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5">
        <f>F6/26/8</f>
        <v>11646.634615384615</v>
      </c>
      <c r="F6" s="36">
        <v>2422500</v>
      </c>
      <c r="G6" s="36">
        <v>0</v>
      </c>
      <c r="H6" s="39">
        <v>93176</v>
      </c>
      <c r="I6" s="2">
        <v>0</v>
      </c>
      <c r="J6" s="2">
        <v>1200000</v>
      </c>
      <c r="K6" s="1">
        <v>0</v>
      </c>
      <c r="L6" s="1">
        <f t="shared" si="2"/>
        <v>1315676</v>
      </c>
      <c r="M6" s="1">
        <v>0</v>
      </c>
      <c r="N6" s="5">
        <v>0</v>
      </c>
      <c r="O6" s="11">
        <f t="shared" si="0"/>
        <v>2515676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5">
        <f>F7/26/6</f>
        <v>3689.7435897435898</v>
      </c>
      <c r="F7" s="36">
        <v>575600</v>
      </c>
      <c r="G7" s="36">
        <v>0</v>
      </c>
      <c r="H7" s="39">
        <v>22140</v>
      </c>
      <c r="I7" s="2">
        <v>167161</v>
      </c>
      <c r="J7" s="2">
        <v>167161</v>
      </c>
      <c r="K7" s="1">
        <v>0</v>
      </c>
      <c r="L7" s="1">
        <f t="shared" si="2"/>
        <v>263418</v>
      </c>
      <c r="M7" s="1">
        <v>0</v>
      </c>
      <c r="N7" s="5">
        <v>0</v>
      </c>
      <c r="O7" s="11">
        <f t="shared" si="0"/>
        <v>597740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5">
        <f>F8/26/6</f>
        <v>3689.7435897435898</v>
      </c>
      <c r="F8" s="36">
        <v>575600</v>
      </c>
      <c r="G8" s="36">
        <v>0</v>
      </c>
      <c r="H8" s="39">
        <v>22140</v>
      </c>
      <c r="I8" s="2">
        <v>167161</v>
      </c>
      <c r="J8" s="2">
        <v>167161</v>
      </c>
      <c r="K8" s="1">
        <v>0</v>
      </c>
      <c r="L8" s="1">
        <f t="shared" si="2"/>
        <v>263418</v>
      </c>
      <c r="M8" s="1">
        <v>0</v>
      </c>
      <c r="N8" s="5">
        <v>0</v>
      </c>
      <c r="O8" s="11">
        <f t="shared" si="0"/>
        <v>597740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5">
        <f t="shared" si="1"/>
        <v>4589.0109890109889</v>
      </c>
      <c r="F9" s="36">
        <v>835200</v>
      </c>
      <c r="G9" s="36">
        <v>0</v>
      </c>
      <c r="H9" s="39">
        <v>32123</v>
      </c>
      <c r="I9" s="2">
        <v>167161</v>
      </c>
      <c r="J9" s="2">
        <v>167161</v>
      </c>
      <c r="K9" s="1">
        <v>0</v>
      </c>
      <c r="L9" s="1">
        <f t="shared" si="2"/>
        <v>533001</v>
      </c>
      <c r="M9" s="1">
        <v>0</v>
      </c>
      <c r="N9" s="5">
        <v>0</v>
      </c>
      <c r="O9" s="11">
        <f t="shared" si="0"/>
        <v>867323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5">
        <f>F10/26/8</f>
        <v>3688.4615384615386</v>
      </c>
      <c r="F10" s="36">
        <v>767200</v>
      </c>
      <c r="G10" s="36">
        <v>0</v>
      </c>
      <c r="H10" s="39">
        <v>29504</v>
      </c>
      <c r="I10" s="2">
        <v>167161</v>
      </c>
      <c r="J10" s="2">
        <v>167161</v>
      </c>
      <c r="K10" s="1">
        <v>0</v>
      </c>
      <c r="L10" s="1">
        <f t="shared" si="2"/>
        <v>462382</v>
      </c>
      <c r="M10" s="1">
        <v>0</v>
      </c>
      <c r="N10" s="5">
        <v>0</v>
      </c>
      <c r="O10" s="11">
        <f t="shared" si="0"/>
        <v>796704</v>
      </c>
    </row>
    <row r="11" spans="1:15" ht="15" thickBot="1" x14ac:dyDescent="0.35">
      <c r="A11" s="51"/>
      <c r="B11" s="52" t="s">
        <v>5</v>
      </c>
      <c r="C11" s="53"/>
      <c r="D11" s="53"/>
      <c r="E11" s="53"/>
      <c r="F11" s="53">
        <f t="shared" ref="F11:O11" si="3">SUM(F2:F10)</f>
        <v>8851700</v>
      </c>
      <c r="G11" s="53">
        <f t="shared" si="3"/>
        <v>0</v>
      </c>
      <c r="H11" s="53">
        <f t="shared" si="3"/>
        <v>307324</v>
      </c>
      <c r="I11" s="53">
        <f t="shared" si="3"/>
        <v>1411492</v>
      </c>
      <c r="J11" s="53">
        <f t="shared" si="3"/>
        <v>2611492</v>
      </c>
      <c r="K11" s="53">
        <f t="shared" si="3"/>
        <v>0</v>
      </c>
      <c r="L11" s="53">
        <f t="shared" si="3"/>
        <v>5069792</v>
      </c>
      <c r="M11" s="53">
        <f t="shared" si="3"/>
        <v>66248</v>
      </c>
      <c r="N11" s="53">
        <f t="shared" si="3"/>
        <v>0</v>
      </c>
      <c r="O11" s="53">
        <f t="shared" si="3"/>
        <v>9092776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E493-F924-4AE5-8F2B-E620C88A1C9D}">
  <dimension ref="A1:H27"/>
  <sheetViews>
    <sheetView workbookViewId="0">
      <selection sqref="A1:H28"/>
    </sheetView>
  </sheetViews>
  <sheetFormatPr baseColWidth="10" defaultRowHeight="14.4" x14ac:dyDescent="0.3"/>
  <cols>
    <col min="1" max="1" width="16.44140625" bestFit="1" customWidth="1"/>
    <col min="2" max="2" width="14.44140625" bestFit="1" customWidth="1"/>
    <col min="4" max="4" width="16.44140625" bestFit="1" customWidth="1"/>
    <col min="5" max="5" width="14.44140625" bestFit="1" customWidth="1"/>
    <col min="7" max="7" width="16.44140625" bestFit="1" customWidth="1"/>
    <col min="8" max="8" width="16.664062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881700</v>
      </c>
      <c r="C2" s="25"/>
      <c r="D2" s="24" t="s">
        <v>2</v>
      </c>
      <c r="E2" s="24">
        <v>861300</v>
      </c>
      <c r="G2" s="24" t="s">
        <v>2</v>
      </c>
      <c r="H2" s="24">
        <v>1030900</v>
      </c>
    </row>
    <row r="3" spans="1:8" ht="28.8" x14ac:dyDescent="0.55000000000000004">
      <c r="A3" s="24" t="s">
        <v>3</v>
      </c>
      <c r="B3" s="24">
        <v>33915</v>
      </c>
      <c r="C3" s="24"/>
      <c r="D3" s="24" t="s">
        <v>3</v>
      </c>
      <c r="E3" s="24">
        <v>0</v>
      </c>
      <c r="G3" s="24" t="s">
        <v>3</v>
      </c>
      <c r="H3" s="24">
        <v>39648</v>
      </c>
    </row>
    <row r="4" spans="1:8" ht="28.8" x14ac:dyDescent="0.55000000000000004">
      <c r="A4" s="24" t="s">
        <v>58</v>
      </c>
      <c r="B4" s="24">
        <v>0</v>
      </c>
      <c r="C4" s="24"/>
      <c r="D4" s="24" t="s">
        <v>58</v>
      </c>
      <c r="E4" s="24">
        <v>0</v>
      </c>
      <c r="G4" s="24" t="s">
        <v>58</v>
      </c>
      <c r="H4" s="24">
        <v>0</v>
      </c>
    </row>
    <row r="5" spans="1:8" ht="29.4" thickBot="1" x14ac:dyDescent="0.6">
      <c r="A5" s="24"/>
      <c r="B5" s="24"/>
      <c r="C5" s="24"/>
      <c r="D5" s="24" t="s">
        <v>59</v>
      </c>
      <c r="E5" s="24">
        <v>-66248</v>
      </c>
    </row>
    <row r="6" spans="1:8" ht="29.4" thickBot="1" x14ac:dyDescent="0.6">
      <c r="A6" s="34" t="s">
        <v>5</v>
      </c>
      <c r="B6" s="34">
        <f>SUM(B2:B4)</f>
        <v>915615</v>
      </c>
      <c r="C6" s="30"/>
      <c r="D6" s="34" t="s">
        <v>5</v>
      </c>
      <c r="E6" s="34">
        <f>SUM(E2:E5)</f>
        <v>795052</v>
      </c>
      <c r="G6" s="34" t="s">
        <v>5</v>
      </c>
      <c r="H6" s="35">
        <f>SUM(H2:H4)</f>
        <v>1070548</v>
      </c>
    </row>
    <row r="7" spans="1:8" ht="28.8" x14ac:dyDescent="0.55000000000000004">
      <c r="A7" s="28" t="s">
        <v>6</v>
      </c>
      <c r="B7" s="28">
        <f>(B6-B8)</f>
        <v>371424</v>
      </c>
      <c r="C7" s="25"/>
      <c r="D7" s="28" t="s">
        <v>6</v>
      </c>
      <c r="E7" s="28">
        <f>(E6-E8)</f>
        <v>371424</v>
      </c>
      <c r="G7" s="28" t="s">
        <v>6</v>
      </c>
      <c r="H7" s="28">
        <f>(H6-H8)</f>
        <v>371424</v>
      </c>
    </row>
    <row r="8" spans="1:8" ht="28.8" x14ac:dyDescent="0.55000000000000004">
      <c r="A8" s="28" t="s">
        <v>7</v>
      </c>
      <c r="B8" s="28">
        <v>544191</v>
      </c>
      <c r="C8" s="25"/>
      <c r="D8" s="28" t="s">
        <v>7</v>
      </c>
      <c r="E8" s="28">
        <v>423628</v>
      </c>
      <c r="G8" s="28" t="s">
        <v>7</v>
      </c>
      <c r="H8" s="28">
        <v>699124</v>
      </c>
    </row>
    <row r="9" spans="1:8" ht="28.8" x14ac:dyDescent="0.55000000000000004">
      <c r="A9" s="25"/>
      <c r="B9" s="29">
        <f>SUM(B7:B8)</f>
        <v>915615</v>
      </c>
      <c r="C9" s="25"/>
      <c r="D9" s="25"/>
      <c r="E9" s="29">
        <f>SUM(E7:E8)</f>
        <v>795052</v>
      </c>
      <c r="G9" s="25"/>
      <c r="H9" s="29">
        <f>SUM(H7:H8)</f>
        <v>1070548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901700</v>
      </c>
      <c r="C12" s="24"/>
      <c r="D12" s="24" t="s">
        <v>2</v>
      </c>
      <c r="E12" s="24">
        <v>575600</v>
      </c>
      <c r="F12" s="25"/>
      <c r="G12" s="24" t="s">
        <v>2</v>
      </c>
      <c r="H12" s="24">
        <v>575600</v>
      </c>
    </row>
    <row r="13" spans="1:8" ht="28.8" x14ac:dyDescent="0.55000000000000004">
      <c r="A13" s="24" t="s">
        <v>3</v>
      </c>
      <c r="B13" s="24">
        <v>34648</v>
      </c>
      <c r="C13" s="24"/>
      <c r="D13" s="24" t="s">
        <v>3</v>
      </c>
      <c r="E13" s="24">
        <v>22140</v>
      </c>
      <c r="F13" s="24"/>
      <c r="G13" s="24" t="s">
        <v>3</v>
      </c>
      <c r="H13" s="24">
        <v>22140</v>
      </c>
    </row>
    <row r="14" spans="1:8" ht="29.4" thickBot="1" x14ac:dyDescent="0.6">
      <c r="A14" s="24" t="s">
        <v>58</v>
      </c>
      <c r="B14" s="24">
        <v>0</v>
      </c>
      <c r="C14" s="24"/>
      <c r="D14" s="24" t="s">
        <v>58</v>
      </c>
      <c r="E14" s="24">
        <v>0</v>
      </c>
      <c r="F14" s="24"/>
      <c r="G14" s="24" t="s">
        <v>58</v>
      </c>
      <c r="H14" s="24">
        <v>0</v>
      </c>
    </row>
    <row r="15" spans="1:8" ht="29.4" thickBot="1" x14ac:dyDescent="0.6">
      <c r="A15" s="33" t="s">
        <v>5</v>
      </c>
      <c r="B15" s="34">
        <f>SUM(B12:B14)</f>
        <v>936348</v>
      </c>
      <c r="C15" s="31"/>
      <c r="D15" s="34" t="s">
        <v>5</v>
      </c>
      <c r="E15" s="34">
        <f>SUM(E12:E14)</f>
        <v>597740</v>
      </c>
      <c r="F15" s="30"/>
      <c r="G15" s="34" t="s">
        <v>5</v>
      </c>
      <c r="H15" s="32">
        <f>SUM(H12:H14)</f>
        <v>597740</v>
      </c>
    </row>
    <row r="16" spans="1:8" ht="28.8" x14ac:dyDescent="0.55000000000000004">
      <c r="A16" s="28" t="s">
        <v>6</v>
      </c>
      <c r="B16" s="28">
        <f>(B15-B17)</f>
        <v>371394</v>
      </c>
      <c r="C16" s="24"/>
      <c r="D16" s="28" t="s">
        <v>6</v>
      </c>
      <c r="E16" s="28">
        <f>(E15-E17)</f>
        <v>334322</v>
      </c>
      <c r="F16" s="25"/>
      <c r="G16" s="28" t="s">
        <v>6</v>
      </c>
      <c r="H16" s="28">
        <f>(H15-H17)</f>
        <v>334322</v>
      </c>
    </row>
    <row r="17" spans="1:8" ht="28.8" x14ac:dyDescent="0.55000000000000004">
      <c r="A17" s="28" t="s">
        <v>7</v>
      </c>
      <c r="B17" s="28">
        <v>564954</v>
      </c>
      <c r="C17" s="24"/>
      <c r="D17" s="28" t="s">
        <v>7</v>
      </c>
      <c r="E17" s="28">
        <v>263418</v>
      </c>
      <c r="F17" s="25"/>
      <c r="G17" s="28" t="s">
        <v>7</v>
      </c>
      <c r="H17" s="28">
        <v>263418</v>
      </c>
    </row>
    <row r="18" spans="1:8" ht="28.8" x14ac:dyDescent="0.55000000000000004">
      <c r="A18" s="25"/>
      <c r="B18" s="29">
        <f>SUM(B16:B17)</f>
        <v>936348</v>
      </c>
      <c r="C18" s="24"/>
      <c r="D18" s="25"/>
      <c r="E18" s="29">
        <f>SUM(E16:E17)</f>
        <v>597740</v>
      </c>
      <c r="F18" s="25"/>
      <c r="G18" s="25"/>
      <c r="H18" s="29">
        <f>SUM(H16:H17)</f>
        <v>597740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835200</v>
      </c>
      <c r="C21" s="24"/>
      <c r="D21" s="24" t="s">
        <v>2</v>
      </c>
      <c r="E21" s="24">
        <v>767200</v>
      </c>
      <c r="F21" s="25"/>
      <c r="G21" s="24"/>
      <c r="H21" s="24"/>
    </row>
    <row r="22" spans="1:8" ht="28.8" x14ac:dyDescent="0.55000000000000004">
      <c r="A22" s="24" t="s">
        <v>3</v>
      </c>
      <c r="B22" s="24">
        <v>32123</v>
      </c>
      <c r="C22" s="24"/>
      <c r="D22" s="24" t="s">
        <v>3</v>
      </c>
      <c r="E22" s="24">
        <v>29504</v>
      </c>
      <c r="F22" s="25"/>
      <c r="G22" s="24"/>
      <c r="H22" s="24"/>
    </row>
    <row r="23" spans="1:8" ht="29.4" thickBot="1" x14ac:dyDescent="0.6">
      <c r="A23" s="24" t="s">
        <v>58</v>
      </c>
      <c r="B23" s="24">
        <v>0</v>
      </c>
      <c r="C23" s="24"/>
      <c r="D23" s="24" t="s">
        <v>58</v>
      </c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867323</v>
      </c>
      <c r="C24" s="31"/>
      <c r="D24" s="34" t="s">
        <v>5</v>
      </c>
      <c r="E24" s="35">
        <f>SUM(E21:E23)</f>
        <v>796704</v>
      </c>
      <c r="F24" s="25"/>
      <c r="G24" s="24"/>
    </row>
    <row r="25" spans="1:8" ht="28.8" x14ac:dyDescent="0.55000000000000004">
      <c r="A25" s="28" t="s">
        <v>6</v>
      </c>
      <c r="B25" s="28">
        <f>(B24-B26)</f>
        <v>334322</v>
      </c>
      <c r="C25" s="24"/>
      <c r="D25" s="28" t="s">
        <v>6</v>
      </c>
      <c r="E25" s="28">
        <f>(E24-E26)</f>
        <v>334322</v>
      </c>
      <c r="F25" s="25"/>
      <c r="G25" s="28"/>
      <c r="H25" s="28"/>
    </row>
    <row r="26" spans="1:8" ht="28.8" x14ac:dyDescent="0.55000000000000004">
      <c r="A26" s="28" t="s">
        <v>7</v>
      </c>
      <c r="B26" s="28">
        <v>533001</v>
      </c>
      <c r="C26" s="24"/>
      <c r="D26" s="28" t="s">
        <v>7</v>
      </c>
      <c r="E26" s="28">
        <v>462382</v>
      </c>
      <c r="F26" s="24"/>
      <c r="G26" s="28"/>
      <c r="H26" s="28"/>
    </row>
    <row r="27" spans="1:8" ht="28.8" x14ac:dyDescent="0.55000000000000004">
      <c r="A27" s="25"/>
      <c r="B27" s="29">
        <f>SUM(B25:B26)</f>
        <v>867323</v>
      </c>
      <c r="C27" s="24"/>
      <c r="D27" s="25"/>
      <c r="E27" s="29">
        <f>SUM(E25:E26)</f>
        <v>796704</v>
      </c>
      <c r="F27" s="24"/>
      <c r="G27" s="25"/>
      <c r="H27" s="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3CD9-57B6-4785-A315-BAEB9E4E63AA}">
  <dimension ref="A1:O11"/>
  <sheetViews>
    <sheetView workbookViewId="0">
      <selection activeCell="F2" sqref="F2"/>
    </sheetView>
  </sheetViews>
  <sheetFormatPr baseColWidth="10" defaultRowHeight="14.4" x14ac:dyDescent="0.3"/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9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5">
        <f>F2/26/7</f>
        <v>4941.7582417582425</v>
      </c>
      <c r="F2" s="36">
        <v>899400</v>
      </c>
      <c r="G2" s="36">
        <v>0</v>
      </c>
      <c r="H2" s="39">
        <v>0</v>
      </c>
      <c r="I2" s="2">
        <v>192251</v>
      </c>
      <c r="J2" s="2">
        <v>192251</v>
      </c>
      <c r="K2" s="1">
        <v>0</v>
      </c>
      <c r="L2" s="1">
        <f>F2+H2+G2-I2-J2-K2-M2</f>
        <v>514898</v>
      </c>
      <c r="M2" s="1">
        <v>0</v>
      </c>
      <c r="N2" s="5">
        <v>0</v>
      </c>
      <c r="O2" s="11">
        <f t="shared" ref="O2:O10" si="0">SUM(F2+H2+G2-M2)</f>
        <v>899400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5">
        <f t="shared" ref="E3:E9" si="1">F3/26/7</f>
        <v>4827.4725274725279</v>
      </c>
      <c r="F3" s="36">
        <v>878600</v>
      </c>
      <c r="G3" s="36">
        <v>0</v>
      </c>
      <c r="H3" s="39">
        <v>50000</v>
      </c>
      <c r="I3" s="2">
        <v>192251</v>
      </c>
      <c r="J3" s="2">
        <v>192251</v>
      </c>
      <c r="K3" s="1">
        <v>0</v>
      </c>
      <c r="L3" s="1">
        <f t="shared" ref="L3:L10" si="2">F3+H3+G3-I3-J3-K3-M3</f>
        <v>544098</v>
      </c>
      <c r="M3" s="1">
        <v>0</v>
      </c>
      <c r="N3" s="5">
        <v>0</v>
      </c>
      <c r="O3" s="11">
        <f t="shared" si="0"/>
        <v>928600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5">
        <f>F4/26/8</f>
        <v>5055.7692307692305</v>
      </c>
      <c r="F4" s="36">
        <v>1051600</v>
      </c>
      <c r="G4" s="36">
        <v>0</v>
      </c>
      <c r="H4" s="39">
        <v>0</v>
      </c>
      <c r="I4" s="2">
        <v>192251</v>
      </c>
      <c r="J4" s="2">
        <v>192251</v>
      </c>
      <c r="K4" s="1">
        <v>0</v>
      </c>
      <c r="L4" s="1">
        <f t="shared" si="2"/>
        <v>667098</v>
      </c>
      <c r="M4" s="1">
        <v>0</v>
      </c>
      <c r="N4" s="5">
        <v>0</v>
      </c>
      <c r="O4" s="11">
        <f t="shared" si="0"/>
        <v>1051600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5">
        <f t="shared" si="1"/>
        <v>5053.8461538461543</v>
      </c>
      <c r="F5" s="36">
        <v>919800</v>
      </c>
      <c r="G5" s="36">
        <v>0</v>
      </c>
      <c r="H5" s="39">
        <v>0</v>
      </c>
      <c r="I5" s="2">
        <v>192251</v>
      </c>
      <c r="J5" s="2">
        <v>192251</v>
      </c>
      <c r="K5" s="1">
        <v>0</v>
      </c>
      <c r="L5" s="1">
        <f t="shared" si="2"/>
        <v>535298</v>
      </c>
      <c r="M5" s="1">
        <v>0</v>
      </c>
      <c r="N5" s="5">
        <v>0</v>
      </c>
      <c r="O5" s="11">
        <f t="shared" si="0"/>
        <v>919800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5">
        <f>F6/26/8</f>
        <v>11879.567307692309</v>
      </c>
      <c r="F6" s="36">
        <v>2470950</v>
      </c>
      <c r="G6" s="36">
        <v>0</v>
      </c>
      <c r="H6" s="39">
        <v>0</v>
      </c>
      <c r="I6" s="2">
        <v>0</v>
      </c>
      <c r="J6" s="2">
        <v>1200000</v>
      </c>
      <c r="K6" s="1">
        <v>0</v>
      </c>
      <c r="L6" s="1">
        <f t="shared" si="2"/>
        <v>1270950</v>
      </c>
      <c r="M6" s="1">
        <v>0</v>
      </c>
      <c r="N6" s="5">
        <v>0</v>
      </c>
      <c r="O6" s="11">
        <f t="shared" si="0"/>
        <v>2470950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5">
        <f>F7/26/6</f>
        <v>3764.102564102564</v>
      </c>
      <c r="F7" s="36">
        <v>587200</v>
      </c>
      <c r="G7" s="36">
        <v>0</v>
      </c>
      <c r="H7" s="39">
        <v>0</v>
      </c>
      <c r="I7" s="2">
        <v>173048</v>
      </c>
      <c r="J7" s="2">
        <v>173048</v>
      </c>
      <c r="K7" s="1">
        <v>0</v>
      </c>
      <c r="L7" s="1">
        <f t="shared" si="2"/>
        <v>241104</v>
      </c>
      <c r="M7" s="1">
        <v>0</v>
      </c>
      <c r="N7" s="5">
        <v>0</v>
      </c>
      <c r="O7" s="11">
        <f t="shared" si="0"/>
        <v>587200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5">
        <f>F8/26/6</f>
        <v>3764.102564102564</v>
      </c>
      <c r="F8" s="36">
        <v>587200</v>
      </c>
      <c r="G8" s="36">
        <v>0</v>
      </c>
      <c r="H8" s="39">
        <v>0</v>
      </c>
      <c r="I8" s="2">
        <v>173048</v>
      </c>
      <c r="J8" s="2">
        <v>173048</v>
      </c>
      <c r="K8" s="1">
        <v>0</v>
      </c>
      <c r="L8" s="1">
        <f t="shared" si="2"/>
        <v>241104</v>
      </c>
      <c r="M8" s="1">
        <v>0</v>
      </c>
      <c r="N8" s="5">
        <v>0</v>
      </c>
      <c r="O8" s="11">
        <f t="shared" si="0"/>
        <v>587200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5">
        <f t="shared" si="1"/>
        <v>4680.7692307692314</v>
      </c>
      <c r="F9" s="36">
        <v>851900</v>
      </c>
      <c r="G9" s="36">
        <v>0</v>
      </c>
      <c r="H9" s="39">
        <v>0</v>
      </c>
      <c r="I9" s="2">
        <v>173048</v>
      </c>
      <c r="J9" s="2">
        <v>173048</v>
      </c>
      <c r="K9" s="1">
        <v>0</v>
      </c>
      <c r="L9" s="1">
        <f t="shared" si="2"/>
        <v>505804</v>
      </c>
      <c r="M9" s="1">
        <v>0</v>
      </c>
      <c r="N9" s="5">
        <v>0</v>
      </c>
      <c r="O9" s="11">
        <f t="shared" si="0"/>
        <v>851900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5">
        <f>F10/26/8</f>
        <v>3762.5</v>
      </c>
      <c r="F10" s="36">
        <v>782600</v>
      </c>
      <c r="G10" s="36">
        <v>0</v>
      </c>
      <c r="H10" s="39">
        <v>0</v>
      </c>
      <c r="I10" s="2">
        <v>173048</v>
      </c>
      <c r="J10" s="2">
        <v>173048</v>
      </c>
      <c r="K10" s="1">
        <v>0</v>
      </c>
      <c r="L10" s="1">
        <f t="shared" si="2"/>
        <v>436504</v>
      </c>
      <c r="M10" s="1">
        <v>0</v>
      </c>
      <c r="N10" s="5">
        <v>0</v>
      </c>
      <c r="O10" s="11">
        <f t="shared" si="0"/>
        <v>782600</v>
      </c>
    </row>
    <row r="11" spans="1:15" ht="15" thickBot="1" x14ac:dyDescent="0.35">
      <c r="A11" s="51"/>
      <c r="B11" s="52" t="s">
        <v>5</v>
      </c>
      <c r="C11" s="53"/>
      <c r="D11" s="53"/>
      <c r="E11" s="53"/>
      <c r="F11" s="53">
        <f t="shared" ref="F11:O11" si="3">SUM(F2:F10)</f>
        <v>9029250</v>
      </c>
      <c r="G11" s="53">
        <f t="shared" si="3"/>
        <v>0</v>
      </c>
      <c r="H11" s="53">
        <f t="shared" si="3"/>
        <v>50000</v>
      </c>
      <c r="I11" s="53">
        <f t="shared" si="3"/>
        <v>1461196</v>
      </c>
      <c r="J11" s="53">
        <f t="shared" si="3"/>
        <v>2661196</v>
      </c>
      <c r="K11" s="53">
        <f t="shared" si="3"/>
        <v>0</v>
      </c>
      <c r="L11" s="53">
        <f t="shared" si="3"/>
        <v>4956858</v>
      </c>
      <c r="M11" s="53">
        <f t="shared" si="3"/>
        <v>0</v>
      </c>
      <c r="N11" s="53">
        <f t="shared" si="3"/>
        <v>0</v>
      </c>
      <c r="O11" s="53">
        <f t="shared" si="3"/>
        <v>9079250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CABB-CBA4-42F5-B90C-53C50B16CF8B}">
  <dimension ref="A1:H27"/>
  <sheetViews>
    <sheetView workbookViewId="0">
      <selection sqref="A1:H29"/>
    </sheetView>
  </sheetViews>
  <sheetFormatPr baseColWidth="10" defaultRowHeight="14.4" x14ac:dyDescent="0.3"/>
  <cols>
    <col min="1" max="1" width="16.44140625" bestFit="1" customWidth="1"/>
    <col min="2" max="2" width="14.44140625" bestFit="1" customWidth="1"/>
    <col min="4" max="4" width="16.44140625" bestFit="1" customWidth="1"/>
    <col min="5" max="5" width="14.44140625" bestFit="1" customWidth="1"/>
    <col min="7" max="7" width="16.44140625" bestFit="1" customWidth="1"/>
    <col min="8" max="8" width="16.664062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899400</v>
      </c>
      <c r="C2" s="25"/>
      <c r="D2" s="24" t="s">
        <v>2</v>
      </c>
      <c r="E2" s="24">
        <v>878600</v>
      </c>
      <c r="G2" s="24" t="s">
        <v>2</v>
      </c>
      <c r="H2" s="24">
        <v>1051600</v>
      </c>
    </row>
    <row r="3" spans="1:8" ht="28.8" x14ac:dyDescent="0.55000000000000004">
      <c r="A3" s="24" t="s">
        <v>3</v>
      </c>
      <c r="B3" s="24">
        <v>0</v>
      </c>
      <c r="C3" s="24"/>
      <c r="D3" s="24" t="s">
        <v>3</v>
      </c>
      <c r="E3" s="24">
        <v>0</v>
      </c>
      <c r="G3" s="24" t="s">
        <v>3</v>
      </c>
      <c r="H3" s="24">
        <v>0</v>
      </c>
    </row>
    <row r="4" spans="1:8" ht="28.8" x14ac:dyDescent="0.55000000000000004">
      <c r="A4" s="24" t="s">
        <v>58</v>
      </c>
      <c r="B4" s="24">
        <v>0</v>
      </c>
      <c r="C4" s="24"/>
      <c r="D4" s="24" t="s">
        <v>58</v>
      </c>
      <c r="E4" s="24">
        <v>0</v>
      </c>
      <c r="G4" s="24" t="s">
        <v>58</v>
      </c>
      <c r="H4" s="24">
        <v>0</v>
      </c>
    </row>
    <row r="5" spans="1:8" ht="29.4" thickBot="1" x14ac:dyDescent="0.6">
      <c r="A5" s="24"/>
      <c r="B5" s="24"/>
      <c r="C5" s="24"/>
      <c r="D5" s="24" t="s">
        <v>60</v>
      </c>
      <c r="E5" s="24">
        <v>50000</v>
      </c>
    </row>
    <row r="6" spans="1:8" ht="29.4" thickBot="1" x14ac:dyDescent="0.6">
      <c r="A6" s="34" t="s">
        <v>5</v>
      </c>
      <c r="B6" s="34">
        <f>SUM(B2:B4)</f>
        <v>899400</v>
      </c>
      <c r="C6" s="30"/>
      <c r="D6" s="34" t="s">
        <v>5</v>
      </c>
      <c r="E6" s="34">
        <f>SUM(E2:E5)</f>
        <v>928600</v>
      </c>
      <c r="G6" s="34" t="s">
        <v>5</v>
      </c>
      <c r="H6" s="35">
        <f>SUM(H2:H4)</f>
        <v>1051600</v>
      </c>
    </row>
    <row r="7" spans="1:8" ht="28.8" x14ac:dyDescent="0.55000000000000004">
      <c r="A7" s="28" t="s">
        <v>6</v>
      </c>
      <c r="B7" s="28">
        <f>(B6-B8)</f>
        <v>384502</v>
      </c>
      <c r="C7" s="25"/>
      <c r="D7" s="28" t="s">
        <v>6</v>
      </c>
      <c r="E7" s="28">
        <f>(E6-E8)</f>
        <v>384502</v>
      </c>
      <c r="G7" s="28" t="s">
        <v>6</v>
      </c>
      <c r="H7" s="28">
        <f>(H6-H8)</f>
        <v>384502</v>
      </c>
    </row>
    <row r="8" spans="1:8" ht="28.8" x14ac:dyDescent="0.55000000000000004">
      <c r="A8" s="28" t="s">
        <v>7</v>
      </c>
      <c r="B8" s="28">
        <v>514898</v>
      </c>
      <c r="C8" s="25"/>
      <c r="D8" s="28" t="s">
        <v>7</v>
      </c>
      <c r="E8" s="28">
        <v>544098</v>
      </c>
      <c r="G8" s="28" t="s">
        <v>7</v>
      </c>
      <c r="H8" s="28">
        <v>667098</v>
      </c>
    </row>
    <row r="9" spans="1:8" ht="28.8" x14ac:dyDescent="0.55000000000000004">
      <c r="A9" s="25"/>
      <c r="B9" s="29">
        <f>SUM(B7:B8)</f>
        <v>899400</v>
      </c>
      <c r="C9" s="25"/>
      <c r="D9" s="25"/>
      <c r="E9" s="29">
        <f>SUM(E7:E8)</f>
        <v>928600</v>
      </c>
      <c r="G9" s="25"/>
      <c r="H9" s="29">
        <f>SUM(H7:H8)</f>
        <v>1051600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919800</v>
      </c>
      <c r="C12" s="24"/>
      <c r="D12" s="24" t="s">
        <v>2</v>
      </c>
      <c r="E12" s="24">
        <v>587200</v>
      </c>
      <c r="F12" s="25"/>
      <c r="G12" s="24" t="s">
        <v>2</v>
      </c>
      <c r="H12" s="24">
        <v>587200</v>
      </c>
    </row>
    <row r="13" spans="1:8" ht="28.8" x14ac:dyDescent="0.55000000000000004">
      <c r="A13" s="24" t="s">
        <v>3</v>
      </c>
      <c r="B13" s="24">
        <v>0</v>
      </c>
      <c r="C13" s="24"/>
      <c r="D13" s="24" t="s">
        <v>3</v>
      </c>
      <c r="E13" s="24">
        <v>0</v>
      </c>
      <c r="F13" s="24"/>
      <c r="G13" s="24" t="s">
        <v>3</v>
      </c>
      <c r="H13" s="24">
        <v>0</v>
      </c>
    </row>
    <row r="14" spans="1:8" ht="29.4" thickBot="1" x14ac:dyDescent="0.6">
      <c r="A14" s="24" t="s">
        <v>58</v>
      </c>
      <c r="B14" s="24">
        <v>0</v>
      </c>
      <c r="C14" s="24"/>
      <c r="D14" s="24" t="s">
        <v>58</v>
      </c>
      <c r="E14" s="24">
        <v>0</v>
      </c>
      <c r="F14" s="24"/>
      <c r="G14" s="24" t="s">
        <v>58</v>
      </c>
      <c r="H14" s="24">
        <v>0</v>
      </c>
    </row>
    <row r="15" spans="1:8" ht="29.4" thickBot="1" x14ac:dyDescent="0.6">
      <c r="A15" s="33" t="s">
        <v>5</v>
      </c>
      <c r="B15" s="34">
        <f>SUM(B12:B14)</f>
        <v>919800</v>
      </c>
      <c r="C15" s="31"/>
      <c r="D15" s="34" t="s">
        <v>5</v>
      </c>
      <c r="E15" s="34">
        <f>SUM(E12:E14)</f>
        <v>587200</v>
      </c>
      <c r="F15" s="30"/>
      <c r="G15" s="34" t="s">
        <v>5</v>
      </c>
      <c r="H15" s="32">
        <f>SUM(H12:H14)</f>
        <v>587200</v>
      </c>
    </row>
    <row r="16" spans="1:8" ht="28.8" x14ac:dyDescent="0.55000000000000004">
      <c r="A16" s="28" t="s">
        <v>6</v>
      </c>
      <c r="B16" s="28">
        <f>(B15-B17)</f>
        <v>384502</v>
      </c>
      <c r="C16" s="24"/>
      <c r="D16" s="28" t="s">
        <v>6</v>
      </c>
      <c r="E16" s="28">
        <f>(E15-E17)</f>
        <v>346096</v>
      </c>
      <c r="F16" s="25"/>
      <c r="G16" s="28" t="s">
        <v>6</v>
      </c>
      <c r="H16" s="28">
        <f>(H15-H17)</f>
        <v>346096</v>
      </c>
    </row>
    <row r="17" spans="1:8" ht="28.8" x14ac:dyDescent="0.55000000000000004">
      <c r="A17" s="28" t="s">
        <v>7</v>
      </c>
      <c r="B17" s="28">
        <v>535298</v>
      </c>
      <c r="C17" s="24"/>
      <c r="D17" s="28" t="s">
        <v>7</v>
      </c>
      <c r="E17" s="28">
        <v>241104</v>
      </c>
      <c r="F17" s="25"/>
      <c r="G17" s="28" t="s">
        <v>7</v>
      </c>
      <c r="H17" s="28">
        <v>241104</v>
      </c>
    </row>
    <row r="18" spans="1:8" ht="28.8" x14ac:dyDescent="0.55000000000000004">
      <c r="A18" s="25"/>
      <c r="B18" s="29">
        <f>SUM(B16:B17)</f>
        <v>919800</v>
      </c>
      <c r="C18" s="24"/>
      <c r="D18" s="25"/>
      <c r="E18" s="29">
        <f>SUM(E16:E17)</f>
        <v>587200</v>
      </c>
      <c r="F18" s="25"/>
      <c r="G18" s="25"/>
      <c r="H18" s="29">
        <f>SUM(H16:H17)</f>
        <v>587200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851900</v>
      </c>
      <c r="C21" s="24"/>
      <c r="D21" s="24" t="s">
        <v>2</v>
      </c>
      <c r="E21" s="24">
        <v>782600</v>
      </c>
      <c r="F21" s="25"/>
      <c r="G21" s="24"/>
      <c r="H21" s="24"/>
    </row>
    <row r="22" spans="1:8" ht="28.8" x14ac:dyDescent="0.55000000000000004">
      <c r="A22" s="24" t="s">
        <v>3</v>
      </c>
      <c r="B22" s="24">
        <v>0</v>
      </c>
      <c r="C22" s="24"/>
      <c r="D22" s="24" t="s">
        <v>3</v>
      </c>
      <c r="E22" s="24">
        <v>0</v>
      </c>
      <c r="F22" s="25"/>
      <c r="G22" s="24"/>
      <c r="H22" s="24"/>
    </row>
    <row r="23" spans="1:8" ht="29.4" thickBot="1" x14ac:dyDescent="0.6">
      <c r="A23" s="24" t="s">
        <v>58</v>
      </c>
      <c r="B23" s="24">
        <v>0</v>
      </c>
      <c r="C23" s="24"/>
      <c r="D23" s="24" t="s">
        <v>58</v>
      </c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851900</v>
      </c>
      <c r="C24" s="31"/>
      <c r="D24" s="34" t="s">
        <v>5</v>
      </c>
      <c r="E24" s="35">
        <f>SUM(E21:E23)</f>
        <v>782600</v>
      </c>
      <c r="F24" s="25"/>
      <c r="G24" s="24"/>
    </row>
    <row r="25" spans="1:8" ht="28.8" x14ac:dyDescent="0.55000000000000004">
      <c r="A25" s="28" t="s">
        <v>6</v>
      </c>
      <c r="B25" s="28">
        <f>(B24-B26)</f>
        <v>346096</v>
      </c>
      <c r="C25" s="24"/>
      <c r="D25" s="28" t="s">
        <v>6</v>
      </c>
      <c r="E25" s="28">
        <f>(E24-E26)</f>
        <v>346096</v>
      </c>
      <c r="F25" s="25"/>
      <c r="G25" s="28"/>
      <c r="H25" s="28"/>
    </row>
    <row r="26" spans="1:8" ht="28.8" x14ac:dyDescent="0.55000000000000004">
      <c r="A26" s="28" t="s">
        <v>7</v>
      </c>
      <c r="B26" s="28">
        <v>505804</v>
      </c>
      <c r="C26" s="24"/>
      <c r="D26" s="28" t="s">
        <v>7</v>
      </c>
      <c r="E26" s="28">
        <v>436504</v>
      </c>
      <c r="F26" s="24"/>
      <c r="G26" s="28"/>
      <c r="H26" s="28"/>
    </row>
    <row r="27" spans="1:8" ht="28.8" x14ac:dyDescent="0.55000000000000004">
      <c r="A27" s="25"/>
      <c r="B27" s="29">
        <f>SUM(B25:B26)</f>
        <v>851900</v>
      </c>
      <c r="C27" s="24"/>
      <c r="D27" s="25"/>
      <c r="E27" s="29">
        <f>SUM(E25:E26)</f>
        <v>782600</v>
      </c>
      <c r="F27" s="24"/>
      <c r="G27" s="25"/>
      <c r="H27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519A-F0AB-4204-BB3F-0B948DAF3CF9}">
  <dimension ref="A1:O11"/>
  <sheetViews>
    <sheetView workbookViewId="0">
      <selection sqref="A1:O11"/>
    </sheetView>
  </sheetViews>
  <sheetFormatPr baseColWidth="10" defaultRowHeight="14.4" x14ac:dyDescent="0.3"/>
  <cols>
    <col min="6" max="6" width="14" bestFit="1" customWidth="1"/>
  </cols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9" t="s">
        <v>18</v>
      </c>
      <c r="F1" s="58" t="s">
        <v>19</v>
      </c>
      <c r="G1" s="13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6">
        <f>F2/26/7</f>
        <v>5040.6593406593402</v>
      </c>
      <c r="F2" s="44">
        <v>917400</v>
      </c>
      <c r="G2" s="2">
        <v>0</v>
      </c>
      <c r="H2" s="2">
        <v>35300</v>
      </c>
      <c r="I2" s="2">
        <v>196513</v>
      </c>
      <c r="J2" s="2">
        <v>209033</v>
      </c>
      <c r="K2" s="1">
        <v>0</v>
      </c>
      <c r="L2" s="1">
        <f>F2+H2+G2-I2-J2-K2-M2</f>
        <v>547154</v>
      </c>
      <c r="M2" s="1">
        <v>0</v>
      </c>
      <c r="N2" s="5">
        <v>0</v>
      </c>
      <c r="O2" s="11">
        <f t="shared" ref="O2:O10" si="0">SUM(F2+H2+G2-M2)</f>
        <v>952700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6">
        <f t="shared" ref="E3:E9" si="1">F3/26/7</f>
        <v>4924.1758241758234</v>
      </c>
      <c r="F3" s="44">
        <v>896200</v>
      </c>
      <c r="G3" s="2">
        <v>0</v>
      </c>
      <c r="H3" s="2">
        <v>34500</v>
      </c>
      <c r="I3" s="2">
        <v>196513</v>
      </c>
      <c r="J3" s="2">
        <v>209033</v>
      </c>
      <c r="K3" s="1">
        <v>0</v>
      </c>
      <c r="L3" s="1">
        <f t="shared" ref="L3:L10" si="2">F3+H3+G3-I3-J3-K3-M3</f>
        <v>525154</v>
      </c>
      <c r="M3" s="1">
        <v>0</v>
      </c>
      <c r="N3" s="5">
        <v>0</v>
      </c>
      <c r="O3" s="11">
        <f t="shared" si="0"/>
        <v>930700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6">
        <f>F4/26/8</f>
        <v>5157.2115384615381</v>
      </c>
      <c r="F4" s="44">
        <v>1072700</v>
      </c>
      <c r="G4" s="2">
        <v>0</v>
      </c>
      <c r="H4" s="2">
        <v>41300</v>
      </c>
      <c r="I4" s="2">
        <v>196513</v>
      </c>
      <c r="J4" s="2">
        <v>209033</v>
      </c>
      <c r="K4" s="1">
        <v>0</v>
      </c>
      <c r="L4" s="1">
        <f t="shared" si="2"/>
        <v>687826</v>
      </c>
      <c r="M4" s="1">
        <v>20628</v>
      </c>
      <c r="N4" s="5">
        <v>0</v>
      </c>
      <c r="O4" s="11">
        <f t="shared" si="0"/>
        <v>1093372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6">
        <f t="shared" si="1"/>
        <v>5154.9450549450548</v>
      </c>
      <c r="F5" s="44">
        <v>938200</v>
      </c>
      <c r="G5" s="2">
        <v>0</v>
      </c>
      <c r="H5" s="2">
        <v>36100</v>
      </c>
      <c r="I5" s="2">
        <v>196513</v>
      </c>
      <c r="J5" s="2">
        <v>209033</v>
      </c>
      <c r="K5" s="1">
        <v>0</v>
      </c>
      <c r="L5" s="1">
        <f t="shared" si="2"/>
        <v>568754</v>
      </c>
      <c r="M5" s="1">
        <v>0</v>
      </c>
      <c r="N5" s="5">
        <v>0</v>
      </c>
      <c r="O5" s="11">
        <f t="shared" si="0"/>
        <v>974300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6">
        <f>F6/26/8</f>
        <v>12117.307692307691</v>
      </c>
      <c r="F6" s="44">
        <v>2520400</v>
      </c>
      <c r="G6" s="2">
        <v>0</v>
      </c>
      <c r="H6" s="2">
        <v>97000</v>
      </c>
      <c r="I6" s="2">
        <v>0</v>
      </c>
      <c r="J6" s="2">
        <v>1200000</v>
      </c>
      <c r="K6" s="1">
        <v>0</v>
      </c>
      <c r="L6" s="1">
        <f t="shared" si="2"/>
        <v>1417400</v>
      </c>
      <c r="M6" s="1">
        <v>0</v>
      </c>
      <c r="N6" s="5">
        <v>0</v>
      </c>
      <c r="O6" s="11">
        <f t="shared" si="0"/>
        <v>2617400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6">
        <f>F7/26/6</f>
        <v>3839.7435897435898</v>
      </c>
      <c r="F7" s="44">
        <v>599000</v>
      </c>
      <c r="G7" s="2">
        <v>0</v>
      </c>
      <c r="H7" s="2">
        <v>23100</v>
      </c>
      <c r="I7" s="2">
        <v>176884</v>
      </c>
      <c r="J7" s="2">
        <v>188153</v>
      </c>
      <c r="K7" s="1">
        <v>0</v>
      </c>
      <c r="L7" s="1">
        <f t="shared" si="2"/>
        <v>257063</v>
      </c>
      <c r="M7" s="1">
        <v>0</v>
      </c>
      <c r="N7" s="5">
        <v>0</v>
      </c>
      <c r="O7" s="11">
        <f t="shared" si="0"/>
        <v>622100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6">
        <f>F8/26/6</f>
        <v>3839.7435897435898</v>
      </c>
      <c r="F8" s="44">
        <v>599000</v>
      </c>
      <c r="G8" s="2">
        <v>0</v>
      </c>
      <c r="H8" s="2">
        <v>23100</v>
      </c>
      <c r="I8" s="2">
        <v>176884</v>
      </c>
      <c r="J8" s="2">
        <v>188153</v>
      </c>
      <c r="K8" s="1">
        <v>0</v>
      </c>
      <c r="L8" s="1">
        <f t="shared" si="2"/>
        <v>257063</v>
      </c>
      <c r="M8" s="1">
        <v>0</v>
      </c>
      <c r="N8" s="5">
        <v>0</v>
      </c>
      <c r="O8" s="11">
        <f t="shared" si="0"/>
        <v>622100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6">
        <f t="shared" si="1"/>
        <v>4774.7252747252742</v>
      </c>
      <c r="F9" s="44">
        <v>869000</v>
      </c>
      <c r="G9" s="2">
        <v>0</v>
      </c>
      <c r="H9" s="2">
        <v>33500</v>
      </c>
      <c r="I9" s="2">
        <v>176884</v>
      </c>
      <c r="J9" s="2">
        <v>188153</v>
      </c>
      <c r="K9" s="1">
        <v>0</v>
      </c>
      <c r="L9" s="1">
        <f t="shared" si="2"/>
        <v>537463</v>
      </c>
      <c r="M9" s="1">
        <v>0</v>
      </c>
      <c r="N9" s="5">
        <v>0</v>
      </c>
      <c r="O9" s="11">
        <f t="shared" si="0"/>
        <v>902500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6">
        <f>F10/26/8</f>
        <v>3837.9807692307691</v>
      </c>
      <c r="F10" s="44">
        <v>798300</v>
      </c>
      <c r="G10" s="2">
        <v>0</v>
      </c>
      <c r="H10" s="2">
        <v>23100</v>
      </c>
      <c r="I10" s="2">
        <v>176884</v>
      </c>
      <c r="J10" s="2">
        <v>188153</v>
      </c>
      <c r="K10" s="1">
        <v>0</v>
      </c>
      <c r="L10" s="1">
        <f t="shared" si="2"/>
        <v>456363</v>
      </c>
      <c r="M10" s="1">
        <v>0</v>
      </c>
      <c r="N10" s="5">
        <v>0</v>
      </c>
      <c r="O10" s="11">
        <f t="shared" si="0"/>
        <v>821400</v>
      </c>
    </row>
    <row r="11" spans="1:15" ht="15" thickBot="1" x14ac:dyDescent="0.35">
      <c r="A11" s="51"/>
      <c r="B11" s="52" t="s">
        <v>5</v>
      </c>
      <c r="C11" s="53"/>
      <c r="D11" s="53"/>
      <c r="E11" s="57"/>
      <c r="F11" s="59">
        <f t="shared" ref="F11:O11" si="3">SUM(F2:F10)</f>
        <v>9210200</v>
      </c>
      <c r="G11" s="52">
        <f t="shared" si="3"/>
        <v>0</v>
      </c>
      <c r="H11" s="53">
        <f t="shared" si="3"/>
        <v>347000</v>
      </c>
      <c r="I11" s="53">
        <f t="shared" si="3"/>
        <v>1493588</v>
      </c>
      <c r="J11" s="53">
        <f t="shared" si="3"/>
        <v>2788744</v>
      </c>
      <c r="K11" s="53">
        <f t="shared" si="3"/>
        <v>0</v>
      </c>
      <c r="L11" s="53">
        <f t="shared" si="3"/>
        <v>5254240</v>
      </c>
      <c r="M11" s="53">
        <f t="shared" si="3"/>
        <v>20628</v>
      </c>
      <c r="N11" s="53">
        <f t="shared" si="3"/>
        <v>0</v>
      </c>
      <c r="O11" s="53">
        <f t="shared" si="3"/>
        <v>9536572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351B-02F2-4D2D-A483-98898818EDCE}">
  <dimension ref="A1:H27"/>
  <sheetViews>
    <sheetView workbookViewId="0">
      <selection sqref="A1:H27"/>
    </sheetView>
  </sheetViews>
  <sheetFormatPr baseColWidth="10" defaultRowHeight="14.4" x14ac:dyDescent="0.3"/>
  <cols>
    <col min="1" max="1" width="16.44140625" bestFit="1" customWidth="1"/>
    <col min="2" max="2" width="14.44140625" bestFit="1" customWidth="1"/>
    <col min="4" max="4" width="16.44140625" bestFit="1" customWidth="1"/>
    <col min="5" max="5" width="14.44140625" bestFit="1" customWidth="1"/>
    <col min="7" max="7" width="16.44140625" bestFit="1" customWidth="1"/>
    <col min="8" max="8" width="16.664062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917400</v>
      </c>
      <c r="C2" s="25"/>
      <c r="D2" s="24" t="s">
        <v>2</v>
      </c>
      <c r="E2" s="24">
        <v>896200</v>
      </c>
      <c r="G2" s="24" t="s">
        <v>2</v>
      </c>
      <c r="H2" s="24">
        <v>1072700</v>
      </c>
    </row>
    <row r="3" spans="1:8" ht="28.8" x14ac:dyDescent="0.55000000000000004">
      <c r="A3" s="24" t="s">
        <v>3</v>
      </c>
      <c r="B3" s="24">
        <v>35300</v>
      </c>
      <c r="C3" s="24"/>
      <c r="D3" s="24" t="s">
        <v>3</v>
      </c>
      <c r="E3" s="24">
        <v>34500</v>
      </c>
      <c r="G3" s="24" t="s">
        <v>3</v>
      </c>
      <c r="H3" s="24">
        <v>41300</v>
      </c>
    </row>
    <row r="4" spans="1:8" ht="28.8" x14ac:dyDescent="0.55000000000000004">
      <c r="A4" s="24" t="s">
        <v>58</v>
      </c>
      <c r="B4" s="24">
        <v>0</v>
      </c>
      <c r="C4" s="24"/>
      <c r="D4" s="24" t="s">
        <v>58</v>
      </c>
      <c r="E4" s="24">
        <v>0</v>
      </c>
      <c r="G4" s="24" t="s">
        <v>58</v>
      </c>
      <c r="H4" s="24">
        <v>0</v>
      </c>
    </row>
    <row r="5" spans="1:8" ht="29.4" thickBot="1" x14ac:dyDescent="0.6">
      <c r="A5" s="24"/>
      <c r="B5" s="24"/>
      <c r="C5" s="24"/>
      <c r="D5" s="24" t="s">
        <v>60</v>
      </c>
      <c r="E5" s="24">
        <v>0</v>
      </c>
      <c r="G5" s="24" t="s">
        <v>59</v>
      </c>
      <c r="H5" s="24">
        <v>-20628</v>
      </c>
    </row>
    <row r="6" spans="1:8" ht="29.4" thickBot="1" x14ac:dyDescent="0.6">
      <c r="A6" s="34" t="s">
        <v>5</v>
      </c>
      <c r="B6" s="34">
        <f>SUM(B2:B4)</f>
        <v>952700</v>
      </c>
      <c r="C6" s="30"/>
      <c r="D6" s="34" t="s">
        <v>5</v>
      </c>
      <c r="E6" s="34">
        <f>SUM(E2:E5)</f>
        <v>930700</v>
      </c>
      <c r="G6" s="34" t="s">
        <v>5</v>
      </c>
      <c r="H6" s="35">
        <f>SUM(H2:H5)</f>
        <v>1093372</v>
      </c>
    </row>
    <row r="7" spans="1:8" ht="28.8" x14ac:dyDescent="0.55000000000000004">
      <c r="A7" s="28" t="s">
        <v>6</v>
      </c>
      <c r="B7" s="28">
        <f>(B6-B8)</f>
        <v>405546</v>
      </c>
      <c r="C7" s="25"/>
      <c r="D7" s="28" t="s">
        <v>6</v>
      </c>
      <c r="E7" s="28">
        <f>(E6-E8)</f>
        <v>405546</v>
      </c>
      <c r="G7" s="28" t="s">
        <v>6</v>
      </c>
      <c r="H7" s="28">
        <f>(H6-H8)</f>
        <v>405546</v>
      </c>
    </row>
    <row r="8" spans="1:8" ht="28.8" x14ac:dyDescent="0.55000000000000004">
      <c r="A8" s="28" t="s">
        <v>7</v>
      </c>
      <c r="B8" s="28">
        <v>547154</v>
      </c>
      <c r="C8" s="25"/>
      <c r="D8" s="28" t="s">
        <v>7</v>
      </c>
      <c r="E8" s="28">
        <v>525154</v>
      </c>
      <c r="G8" s="28" t="s">
        <v>7</v>
      </c>
      <c r="H8" s="28">
        <v>687826</v>
      </c>
    </row>
    <row r="9" spans="1:8" ht="28.8" x14ac:dyDescent="0.55000000000000004">
      <c r="A9" s="25"/>
      <c r="B9" s="29">
        <f>SUM(B7:B8)</f>
        <v>952700</v>
      </c>
      <c r="C9" s="25"/>
      <c r="D9" s="25"/>
      <c r="E9" s="29">
        <f>SUM(E7:E8)</f>
        <v>930700</v>
      </c>
      <c r="G9" s="25"/>
      <c r="H9" s="29">
        <f>SUM(H7:H8)</f>
        <v>1093372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938200</v>
      </c>
      <c r="C12" s="24"/>
      <c r="D12" s="24" t="s">
        <v>2</v>
      </c>
      <c r="E12" s="24">
        <v>599000</v>
      </c>
      <c r="F12" s="25"/>
      <c r="G12" s="24" t="s">
        <v>2</v>
      </c>
      <c r="H12" s="24">
        <v>599000</v>
      </c>
    </row>
    <row r="13" spans="1:8" ht="28.8" x14ac:dyDescent="0.55000000000000004">
      <c r="A13" s="24" t="s">
        <v>3</v>
      </c>
      <c r="B13" s="24">
        <v>36100</v>
      </c>
      <c r="C13" s="24"/>
      <c r="D13" s="24" t="s">
        <v>3</v>
      </c>
      <c r="E13" s="24">
        <v>23100</v>
      </c>
      <c r="F13" s="24"/>
      <c r="G13" s="24" t="s">
        <v>3</v>
      </c>
      <c r="H13" s="24">
        <v>23100</v>
      </c>
    </row>
    <row r="14" spans="1:8" ht="29.4" thickBot="1" x14ac:dyDescent="0.6">
      <c r="A14" s="24" t="s">
        <v>58</v>
      </c>
      <c r="B14" s="24">
        <v>0</v>
      </c>
      <c r="C14" s="24"/>
      <c r="D14" s="24" t="s">
        <v>58</v>
      </c>
      <c r="E14" s="24">
        <v>0</v>
      </c>
      <c r="F14" s="24"/>
      <c r="G14" s="24" t="s">
        <v>58</v>
      </c>
      <c r="H14" s="24">
        <v>0</v>
      </c>
    </row>
    <row r="15" spans="1:8" ht="29.4" thickBot="1" x14ac:dyDescent="0.6">
      <c r="A15" s="33" t="s">
        <v>5</v>
      </c>
      <c r="B15" s="34">
        <f>SUM(B12:B14)</f>
        <v>974300</v>
      </c>
      <c r="C15" s="31"/>
      <c r="D15" s="34" t="s">
        <v>5</v>
      </c>
      <c r="E15" s="34">
        <f>SUM(E12:E14)</f>
        <v>622100</v>
      </c>
      <c r="F15" s="30"/>
      <c r="G15" s="34" t="s">
        <v>5</v>
      </c>
      <c r="H15" s="32">
        <f>SUM(H12:H14)</f>
        <v>622100</v>
      </c>
    </row>
    <row r="16" spans="1:8" ht="28.8" x14ac:dyDescent="0.55000000000000004">
      <c r="A16" s="28" t="s">
        <v>6</v>
      </c>
      <c r="B16" s="28">
        <f>(B15-B17)</f>
        <v>405546</v>
      </c>
      <c r="C16" s="24"/>
      <c r="D16" s="28" t="s">
        <v>6</v>
      </c>
      <c r="E16" s="28">
        <f>(E15-E17)</f>
        <v>365037</v>
      </c>
      <c r="F16" s="25"/>
      <c r="G16" s="28" t="s">
        <v>6</v>
      </c>
      <c r="H16" s="28">
        <f>(H15-H17)</f>
        <v>365037</v>
      </c>
    </row>
    <row r="17" spans="1:8" ht="28.8" x14ac:dyDescent="0.55000000000000004">
      <c r="A17" s="28" t="s">
        <v>7</v>
      </c>
      <c r="B17" s="28">
        <v>568754</v>
      </c>
      <c r="C17" s="24"/>
      <c r="D17" s="28" t="s">
        <v>7</v>
      </c>
      <c r="E17" s="28">
        <v>257063</v>
      </c>
      <c r="F17" s="25"/>
      <c r="G17" s="28" t="s">
        <v>7</v>
      </c>
      <c r="H17" s="28">
        <v>257063</v>
      </c>
    </row>
    <row r="18" spans="1:8" ht="28.8" x14ac:dyDescent="0.55000000000000004">
      <c r="A18" s="25"/>
      <c r="B18" s="29">
        <f>SUM(B16:B17)</f>
        <v>974300</v>
      </c>
      <c r="C18" s="24"/>
      <c r="D18" s="25"/>
      <c r="E18" s="29">
        <f>SUM(E16:E17)</f>
        <v>622100</v>
      </c>
      <c r="F18" s="25"/>
      <c r="G18" s="25"/>
      <c r="H18" s="29">
        <f>SUM(H16:H17)</f>
        <v>622100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869000</v>
      </c>
      <c r="C21" s="24"/>
      <c r="D21" s="24" t="s">
        <v>2</v>
      </c>
      <c r="E21" s="24">
        <v>798300</v>
      </c>
      <c r="F21" s="25"/>
      <c r="G21" s="24"/>
      <c r="H21" s="24"/>
    </row>
    <row r="22" spans="1:8" ht="28.8" x14ac:dyDescent="0.55000000000000004">
      <c r="A22" s="24" t="s">
        <v>3</v>
      </c>
      <c r="B22" s="24">
        <v>33500</v>
      </c>
      <c r="C22" s="24"/>
      <c r="D22" s="24" t="s">
        <v>3</v>
      </c>
      <c r="E22" s="24">
        <v>23100</v>
      </c>
      <c r="F22" s="25"/>
      <c r="G22" s="24"/>
      <c r="H22" s="24"/>
    </row>
    <row r="23" spans="1:8" ht="29.4" thickBot="1" x14ac:dyDescent="0.6">
      <c r="A23" s="24" t="s">
        <v>58</v>
      </c>
      <c r="B23" s="24">
        <v>0</v>
      </c>
      <c r="C23" s="24"/>
      <c r="D23" s="24" t="s">
        <v>58</v>
      </c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902500</v>
      </c>
      <c r="C24" s="31"/>
      <c r="D24" s="34" t="s">
        <v>5</v>
      </c>
      <c r="E24" s="35">
        <f>SUM(E21:E23)</f>
        <v>821400</v>
      </c>
      <c r="F24" s="25"/>
      <c r="G24" s="24"/>
    </row>
    <row r="25" spans="1:8" ht="28.8" x14ac:dyDescent="0.55000000000000004">
      <c r="A25" s="28" t="s">
        <v>6</v>
      </c>
      <c r="B25" s="28">
        <f>(B24-B26)</f>
        <v>365037</v>
      </c>
      <c r="C25" s="24"/>
      <c r="D25" s="28" t="s">
        <v>6</v>
      </c>
      <c r="E25" s="28">
        <f>(E24-E26)</f>
        <v>365037</v>
      </c>
      <c r="F25" s="25"/>
      <c r="G25" s="28"/>
      <c r="H25" s="28"/>
    </row>
    <row r="26" spans="1:8" ht="28.8" x14ac:dyDescent="0.55000000000000004">
      <c r="A26" s="28" t="s">
        <v>7</v>
      </c>
      <c r="B26" s="28">
        <v>537463</v>
      </c>
      <c r="C26" s="24"/>
      <c r="D26" s="28" t="s">
        <v>7</v>
      </c>
      <c r="E26" s="28">
        <v>456363</v>
      </c>
      <c r="F26" s="24"/>
      <c r="G26" s="28"/>
      <c r="H26" s="28"/>
    </row>
    <row r="27" spans="1:8" ht="28.8" x14ac:dyDescent="0.55000000000000004">
      <c r="A27" s="25"/>
      <c r="B27" s="29">
        <f>SUM(B25:B26)</f>
        <v>902500</v>
      </c>
      <c r="C27" s="24"/>
      <c r="D27" s="25"/>
      <c r="E27" s="29">
        <f>SUM(E25:E26)</f>
        <v>821400</v>
      </c>
      <c r="F27" s="24"/>
      <c r="G27" s="25"/>
      <c r="H27" s="2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513B-4AD3-491B-ABD0-C2492EB254E5}">
  <dimension ref="A1:O11"/>
  <sheetViews>
    <sheetView workbookViewId="0">
      <selection activeCell="F4" sqref="F4"/>
    </sheetView>
  </sheetViews>
  <sheetFormatPr baseColWidth="10" defaultRowHeight="14.4" x14ac:dyDescent="0.3"/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9" t="s">
        <v>18</v>
      </c>
      <c r="F1" s="58" t="s">
        <v>19</v>
      </c>
      <c r="G1" s="13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6">
        <f>F2/26/7</f>
        <v>5191.8791208791208</v>
      </c>
      <c r="F2" s="44">
        <v>944922</v>
      </c>
      <c r="G2" s="2">
        <v>0</v>
      </c>
      <c r="H2" s="2">
        <v>0</v>
      </c>
      <c r="I2" s="2">
        <v>194304</v>
      </c>
      <c r="J2" s="2">
        <v>185906</v>
      </c>
      <c r="K2" s="1">
        <v>0</v>
      </c>
      <c r="L2" s="1">
        <f>F2+H2+G2-I2-J2-K2-M2</f>
        <v>564712</v>
      </c>
      <c r="M2" s="1">
        <v>0</v>
      </c>
      <c r="N2" s="5">
        <v>0</v>
      </c>
      <c r="O2" s="11">
        <f t="shared" ref="O2:O10" si="0">SUM(F2+H2+G2-M2)</f>
        <v>944922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6">
        <f t="shared" ref="E3:E9" si="1">F3/26/7</f>
        <v>5071.9010989010994</v>
      </c>
      <c r="F3" s="44">
        <v>923086</v>
      </c>
      <c r="G3" s="2">
        <v>0</v>
      </c>
      <c r="H3" s="2">
        <v>0</v>
      </c>
      <c r="I3" s="2">
        <v>194304</v>
      </c>
      <c r="J3" s="2">
        <v>185906</v>
      </c>
      <c r="K3" s="1">
        <v>0</v>
      </c>
      <c r="L3" s="1">
        <f t="shared" ref="L3:L10" si="2">F3+H3+G3-I3-J3-K3-M3</f>
        <v>542876</v>
      </c>
      <c r="M3" s="1">
        <v>0</v>
      </c>
      <c r="N3" s="5">
        <v>0</v>
      </c>
      <c r="O3" s="11">
        <f t="shared" si="0"/>
        <v>923086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6">
        <f>F4/26/8</f>
        <v>5683.7596153846152</v>
      </c>
      <c r="F4" s="44">
        <v>1182222</v>
      </c>
      <c r="G4" s="2">
        <v>0</v>
      </c>
      <c r="H4" s="2">
        <v>0</v>
      </c>
      <c r="I4" s="2">
        <v>194304</v>
      </c>
      <c r="J4" s="2">
        <v>185906</v>
      </c>
      <c r="K4" s="1">
        <v>0</v>
      </c>
      <c r="L4" s="1">
        <f t="shared" si="2"/>
        <v>802012</v>
      </c>
      <c r="M4" s="1">
        <v>0</v>
      </c>
      <c r="N4" s="5">
        <v>0</v>
      </c>
      <c r="O4" s="11">
        <f t="shared" si="0"/>
        <v>1182222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6">
        <f t="shared" si="1"/>
        <v>5309.5934065934061</v>
      </c>
      <c r="F5" s="44">
        <v>966346</v>
      </c>
      <c r="G5" s="2">
        <v>0</v>
      </c>
      <c r="H5" s="2">
        <v>0</v>
      </c>
      <c r="I5" s="2">
        <v>194304</v>
      </c>
      <c r="J5" s="2">
        <v>185906</v>
      </c>
      <c r="K5" s="1">
        <v>0</v>
      </c>
      <c r="L5" s="1">
        <f t="shared" si="2"/>
        <v>586136</v>
      </c>
      <c r="M5" s="1">
        <v>0</v>
      </c>
      <c r="N5" s="5">
        <v>0</v>
      </c>
      <c r="O5" s="11">
        <f t="shared" si="0"/>
        <v>966346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6">
        <f>F6/26/8</f>
        <v>12480.826923076924</v>
      </c>
      <c r="F6" s="44">
        <v>2596012</v>
      </c>
      <c r="G6" s="2">
        <v>0</v>
      </c>
      <c r="H6" s="2">
        <v>0</v>
      </c>
      <c r="I6" s="2">
        <v>0</v>
      </c>
      <c r="J6" s="2">
        <v>1200000</v>
      </c>
      <c r="K6" s="1">
        <v>0</v>
      </c>
      <c r="L6" s="1">
        <f t="shared" si="2"/>
        <v>1396012</v>
      </c>
      <c r="M6" s="1">
        <v>0</v>
      </c>
      <c r="N6" s="5">
        <v>0</v>
      </c>
      <c r="O6" s="11">
        <f t="shared" si="0"/>
        <v>2596012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6">
        <f>F7/26/6</f>
        <v>3954.935897435897</v>
      </c>
      <c r="F7" s="44">
        <v>616970</v>
      </c>
      <c r="G7" s="2">
        <v>0</v>
      </c>
      <c r="H7" s="2">
        <v>0</v>
      </c>
      <c r="I7" s="2">
        <v>174895</v>
      </c>
      <c r="J7" s="2">
        <v>167336</v>
      </c>
      <c r="K7" s="1">
        <v>0</v>
      </c>
      <c r="L7" s="1">
        <f t="shared" si="2"/>
        <v>274739</v>
      </c>
      <c r="M7" s="1">
        <v>0</v>
      </c>
      <c r="N7" s="5">
        <v>0</v>
      </c>
      <c r="O7" s="11">
        <f t="shared" si="0"/>
        <v>616970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6">
        <f>F8/26/6</f>
        <v>3954.935897435897</v>
      </c>
      <c r="F8" s="44">
        <v>616970</v>
      </c>
      <c r="G8" s="2">
        <v>0</v>
      </c>
      <c r="H8" s="2">
        <v>0</v>
      </c>
      <c r="I8" s="2">
        <v>174895</v>
      </c>
      <c r="J8" s="2">
        <v>167336</v>
      </c>
      <c r="K8" s="1">
        <v>0</v>
      </c>
      <c r="L8" s="1">
        <f t="shared" si="2"/>
        <v>274739</v>
      </c>
      <c r="M8" s="1">
        <v>0</v>
      </c>
      <c r="N8" s="5">
        <v>0</v>
      </c>
      <c r="O8" s="11">
        <f t="shared" si="0"/>
        <v>616970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6">
        <f t="shared" si="1"/>
        <v>4917.9670329670334</v>
      </c>
      <c r="F9" s="44">
        <v>895070</v>
      </c>
      <c r="G9" s="2">
        <v>0</v>
      </c>
      <c r="H9" s="2">
        <v>0</v>
      </c>
      <c r="I9" s="2">
        <v>174895</v>
      </c>
      <c r="J9" s="2">
        <v>167336</v>
      </c>
      <c r="K9" s="1">
        <v>0</v>
      </c>
      <c r="L9" s="1">
        <f t="shared" si="2"/>
        <v>552839</v>
      </c>
      <c r="M9" s="1">
        <v>0</v>
      </c>
      <c r="N9" s="5">
        <v>0</v>
      </c>
      <c r="O9" s="11">
        <f t="shared" si="0"/>
        <v>895070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6">
        <f>F10/26/8</f>
        <v>3953.1201923076924</v>
      </c>
      <c r="F10" s="44">
        <v>822249</v>
      </c>
      <c r="G10" s="2">
        <v>0</v>
      </c>
      <c r="H10" s="2">
        <v>0</v>
      </c>
      <c r="I10" s="2">
        <v>174895</v>
      </c>
      <c r="J10" s="2">
        <v>167336</v>
      </c>
      <c r="K10" s="1">
        <v>0</v>
      </c>
      <c r="L10" s="1">
        <f t="shared" si="2"/>
        <v>480018</v>
      </c>
      <c r="M10" s="1">
        <v>0</v>
      </c>
      <c r="N10" s="5">
        <v>0</v>
      </c>
      <c r="O10" s="11">
        <f t="shared" si="0"/>
        <v>822249</v>
      </c>
    </row>
    <row r="11" spans="1:15" ht="15" thickBot="1" x14ac:dyDescent="0.35">
      <c r="A11" s="51"/>
      <c r="B11" s="52" t="s">
        <v>5</v>
      </c>
      <c r="C11" s="53"/>
      <c r="D11" s="53"/>
      <c r="E11" s="57"/>
      <c r="F11" s="59">
        <f t="shared" ref="F11:O11" si="3">SUM(F2:F10)</f>
        <v>9563847</v>
      </c>
      <c r="G11" s="52">
        <f t="shared" si="3"/>
        <v>0</v>
      </c>
      <c r="H11" s="53">
        <f t="shared" si="3"/>
        <v>0</v>
      </c>
      <c r="I11" s="53">
        <f t="shared" si="3"/>
        <v>1476796</v>
      </c>
      <c r="J11" s="53">
        <f t="shared" si="3"/>
        <v>2612968</v>
      </c>
      <c r="K11" s="53">
        <f t="shared" si="3"/>
        <v>0</v>
      </c>
      <c r="L11" s="53">
        <f t="shared" si="3"/>
        <v>5474083</v>
      </c>
      <c r="M11" s="53">
        <f t="shared" si="3"/>
        <v>0</v>
      </c>
      <c r="N11" s="53">
        <f t="shared" si="3"/>
        <v>0</v>
      </c>
      <c r="O11" s="53">
        <f t="shared" si="3"/>
        <v>9563847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BA70-FB80-4A0B-9FAA-CB65F0F58297}">
  <dimension ref="A1:H27"/>
  <sheetViews>
    <sheetView topLeftCell="A15" workbookViewId="0">
      <selection sqref="A1:H27"/>
    </sheetView>
  </sheetViews>
  <sheetFormatPr baseColWidth="10" defaultRowHeight="14.4" x14ac:dyDescent="0.3"/>
  <cols>
    <col min="1" max="1" width="16.21875" bestFit="1" customWidth="1"/>
    <col min="2" max="2" width="14.109375" bestFit="1" customWidth="1"/>
    <col min="4" max="4" width="16.21875" bestFit="1" customWidth="1"/>
    <col min="5" max="5" width="14.109375" bestFit="1" customWidth="1"/>
    <col min="7" max="7" width="16.21875" bestFit="1" customWidth="1"/>
    <col min="8" max="8" width="22.7773437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944922</v>
      </c>
      <c r="C2" s="25"/>
      <c r="D2" s="24" t="s">
        <v>2</v>
      </c>
      <c r="E2" s="24">
        <v>923086</v>
      </c>
      <c r="G2" s="24" t="s">
        <v>2</v>
      </c>
      <c r="H2" s="24">
        <v>1184444</v>
      </c>
    </row>
    <row r="3" spans="1:8" ht="28.8" x14ac:dyDescent="0.55000000000000004">
      <c r="A3" s="24" t="s">
        <v>3</v>
      </c>
      <c r="B3" s="24">
        <v>0</v>
      </c>
      <c r="C3" s="24"/>
      <c r="D3" s="24" t="s">
        <v>3</v>
      </c>
      <c r="E3" s="24">
        <v>0</v>
      </c>
      <c r="G3" s="24" t="s">
        <v>3</v>
      </c>
      <c r="H3" s="24">
        <v>0</v>
      </c>
    </row>
    <row r="4" spans="1:8" ht="28.8" x14ac:dyDescent="0.55000000000000004">
      <c r="A4" s="24" t="s">
        <v>58</v>
      </c>
      <c r="B4" s="24">
        <v>0</v>
      </c>
      <c r="C4" s="24"/>
      <c r="D4" s="24" t="s">
        <v>58</v>
      </c>
      <c r="E4" s="24">
        <v>0</v>
      </c>
      <c r="G4" s="24" t="s">
        <v>58</v>
      </c>
      <c r="H4" s="24">
        <v>0</v>
      </c>
    </row>
    <row r="5" spans="1:8" ht="29.4" thickBot="1" x14ac:dyDescent="0.6">
      <c r="A5" s="24"/>
      <c r="B5" s="24"/>
      <c r="C5" s="24"/>
      <c r="D5" s="24" t="s">
        <v>60</v>
      </c>
      <c r="E5" s="24">
        <v>0</v>
      </c>
      <c r="G5" s="24" t="s">
        <v>59</v>
      </c>
      <c r="H5" s="24"/>
    </row>
    <row r="6" spans="1:8" ht="29.4" thickBot="1" x14ac:dyDescent="0.6">
      <c r="A6" s="34" t="s">
        <v>5</v>
      </c>
      <c r="B6" s="34">
        <f>SUM(B2:B4)</f>
        <v>944922</v>
      </c>
      <c r="C6" s="30"/>
      <c r="D6" s="34" t="s">
        <v>5</v>
      </c>
      <c r="E6" s="34">
        <f>SUM(E2:E5)</f>
        <v>923086</v>
      </c>
      <c r="G6" s="34" t="s">
        <v>5</v>
      </c>
      <c r="H6" s="35">
        <f>SUM(H2:H5)</f>
        <v>1184444</v>
      </c>
    </row>
    <row r="7" spans="1:8" ht="28.8" x14ac:dyDescent="0.55000000000000004">
      <c r="A7" s="28" t="s">
        <v>6</v>
      </c>
      <c r="B7" s="28">
        <f>(B6-B8)</f>
        <v>380210</v>
      </c>
      <c r="C7" s="25"/>
      <c r="D7" s="28" t="s">
        <v>6</v>
      </c>
      <c r="E7" s="28">
        <f>(E6-E8)</f>
        <v>380210</v>
      </c>
      <c r="G7" s="28" t="s">
        <v>6</v>
      </c>
      <c r="H7" s="28">
        <f>(H6-H8)</f>
        <v>459773</v>
      </c>
    </row>
    <row r="8" spans="1:8" ht="28.8" x14ac:dyDescent="0.55000000000000004">
      <c r="A8" s="28" t="s">
        <v>7</v>
      </c>
      <c r="B8" s="28">
        <v>564712</v>
      </c>
      <c r="C8" s="25"/>
      <c r="D8" s="28" t="s">
        <v>7</v>
      </c>
      <c r="E8" s="28">
        <v>542876</v>
      </c>
      <c r="G8" s="28" t="s">
        <v>7</v>
      </c>
      <c r="H8" s="28">
        <v>724671</v>
      </c>
    </row>
    <row r="9" spans="1:8" ht="28.8" x14ac:dyDescent="0.55000000000000004">
      <c r="A9" s="25"/>
      <c r="B9" s="29">
        <f>SUM(B7:B8)</f>
        <v>944922</v>
      </c>
      <c r="C9" s="25"/>
      <c r="D9" s="25"/>
      <c r="E9" s="29">
        <f>SUM(E7:E8)</f>
        <v>923086</v>
      </c>
      <c r="G9" s="25"/>
      <c r="H9" s="29">
        <f>SUM(H7:H8)</f>
        <v>1184444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966346</v>
      </c>
      <c r="C12" s="24"/>
      <c r="D12" s="24" t="s">
        <v>2</v>
      </c>
      <c r="E12" s="24">
        <v>616970</v>
      </c>
      <c r="F12" s="25"/>
      <c r="G12" s="24" t="s">
        <v>2</v>
      </c>
      <c r="H12" s="24">
        <v>616970</v>
      </c>
    </row>
    <row r="13" spans="1:8" ht="28.8" x14ac:dyDescent="0.55000000000000004">
      <c r="A13" s="24" t="s">
        <v>3</v>
      </c>
      <c r="B13" s="24">
        <v>0</v>
      </c>
      <c r="C13" s="24"/>
      <c r="D13" s="24" t="s">
        <v>3</v>
      </c>
      <c r="E13" s="24">
        <v>0</v>
      </c>
      <c r="F13" s="24"/>
      <c r="G13" s="24" t="s">
        <v>3</v>
      </c>
      <c r="H13" s="24">
        <v>0</v>
      </c>
    </row>
    <row r="14" spans="1:8" ht="29.4" thickBot="1" x14ac:dyDescent="0.6">
      <c r="A14" s="24" t="s">
        <v>58</v>
      </c>
      <c r="B14" s="24">
        <v>0</v>
      </c>
      <c r="C14" s="24"/>
      <c r="D14" s="24" t="s">
        <v>58</v>
      </c>
      <c r="E14" s="24">
        <v>0</v>
      </c>
      <c r="F14" s="24"/>
      <c r="G14" s="24" t="s">
        <v>58</v>
      </c>
      <c r="H14" s="24">
        <v>0</v>
      </c>
    </row>
    <row r="15" spans="1:8" ht="29.4" thickBot="1" x14ac:dyDescent="0.6">
      <c r="A15" s="33" t="s">
        <v>5</v>
      </c>
      <c r="B15" s="34">
        <f>SUM(B12:B14)</f>
        <v>966346</v>
      </c>
      <c r="C15" s="31"/>
      <c r="D15" s="34" t="s">
        <v>5</v>
      </c>
      <c r="E15" s="34">
        <f>SUM(E12:E14)</f>
        <v>616970</v>
      </c>
      <c r="F15" s="30"/>
      <c r="G15" s="34" t="s">
        <v>5</v>
      </c>
      <c r="H15" s="32">
        <f>SUM(H12:H14)</f>
        <v>616970</v>
      </c>
    </row>
    <row r="16" spans="1:8" ht="28.8" x14ac:dyDescent="0.55000000000000004">
      <c r="A16" s="28" t="s">
        <v>6</v>
      </c>
      <c r="B16" s="28">
        <f>(B15-B17)</f>
        <v>380210</v>
      </c>
      <c r="C16" s="24"/>
      <c r="D16" s="28" t="s">
        <v>6</v>
      </c>
      <c r="E16" s="28">
        <f>(E15-E17)</f>
        <v>342231</v>
      </c>
      <c r="F16" s="25"/>
      <c r="G16" s="28" t="s">
        <v>6</v>
      </c>
      <c r="H16" s="28">
        <f>(H15-H17)</f>
        <v>342231</v>
      </c>
    </row>
    <row r="17" spans="1:8" ht="28.8" x14ac:dyDescent="0.55000000000000004">
      <c r="A17" s="28" t="s">
        <v>7</v>
      </c>
      <c r="B17" s="28">
        <v>586136</v>
      </c>
      <c r="C17" s="24"/>
      <c r="D17" s="28" t="s">
        <v>7</v>
      </c>
      <c r="E17" s="28">
        <v>274739</v>
      </c>
      <c r="F17" s="25"/>
      <c r="G17" s="28" t="s">
        <v>7</v>
      </c>
      <c r="H17" s="28">
        <v>274739</v>
      </c>
    </row>
    <row r="18" spans="1:8" ht="28.8" x14ac:dyDescent="0.55000000000000004">
      <c r="A18" s="25"/>
      <c r="B18" s="29">
        <f>SUM(B16:B17)</f>
        <v>966346</v>
      </c>
      <c r="C18" s="24"/>
      <c r="D18" s="25"/>
      <c r="E18" s="29">
        <f>SUM(E16:E17)</f>
        <v>616970</v>
      </c>
      <c r="F18" s="25"/>
      <c r="G18" s="25"/>
      <c r="H18" s="29">
        <f>SUM(H16:H17)</f>
        <v>616970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895070</v>
      </c>
      <c r="C21" s="24"/>
      <c r="D21" s="24" t="s">
        <v>2</v>
      </c>
      <c r="E21" s="24">
        <v>822249</v>
      </c>
      <c r="F21" s="25"/>
      <c r="G21" s="24"/>
      <c r="H21" s="24"/>
    </row>
    <row r="22" spans="1:8" ht="28.8" x14ac:dyDescent="0.55000000000000004">
      <c r="A22" s="24" t="s">
        <v>3</v>
      </c>
      <c r="B22" s="24">
        <v>0</v>
      </c>
      <c r="C22" s="24"/>
      <c r="D22" s="24" t="s">
        <v>3</v>
      </c>
      <c r="E22" s="24">
        <v>0</v>
      </c>
      <c r="F22" s="25"/>
      <c r="G22" s="24"/>
      <c r="H22" s="24"/>
    </row>
    <row r="23" spans="1:8" ht="29.4" thickBot="1" x14ac:dyDescent="0.6">
      <c r="A23" s="24" t="s">
        <v>58</v>
      </c>
      <c r="B23" s="24">
        <v>0</v>
      </c>
      <c r="C23" s="24"/>
      <c r="D23" s="24" t="s">
        <v>58</v>
      </c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895070</v>
      </c>
      <c r="C24" s="31"/>
      <c r="D24" s="34" t="s">
        <v>5</v>
      </c>
      <c r="E24" s="35">
        <f>SUM(E21:E23)</f>
        <v>822249</v>
      </c>
      <c r="F24" s="25"/>
      <c r="G24" s="24"/>
    </row>
    <row r="25" spans="1:8" ht="28.8" x14ac:dyDescent="0.55000000000000004">
      <c r="A25" s="28" t="s">
        <v>6</v>
      </c>
      <c r="B25" s="28">
        <f>(B24-B26)</f>
        <v>342231</v>
      </c>
      <c r="C25" s="24"/>
      <c r="D25" s="28" t="s">
        <v>6</v>
      </c>
      <c r="E25" s="28">
        <f>(E24-E26)</f>
        <v>342231</v>
      </c>
      <c r="F25" s="25"/>
      <c r="G25" s="28"/>
      <c r="H25" s="28"/>
    </row>
    <row r="26" spans="1:8" ht="28.8" x14ac:dyDescent="0.55000000000000004">
      <c r="A26" s="28" t="s">
        <v>7</v>
      </c>
      <c r="B26" s="28">
        <v>552839</v>
      </c>
      <c r="C26" s="24"/>
      <c r="D26" s="28" t="s">
        <v>7</v>
      </c>
      <c r="E26" s="28">
        <v>480018</v>
      </c>
      <c r="F26" s="24"/>
      <c r="G26" s="28"/>
      <c r="H26" s="28"/>
    </row>
    <row r="27" spans="1:8" ht="28.8" x14ac:dyDescent="0.55000000000000004">
      <c r="A27" s="25"/>
      <c r="B27" s="29">
        <f>SUM(B25:B26)</f>
        <v>895070</v>
      </c>
      <c r="C27" s="24"/>
      <c r="D27" s="25"/>
      <c r="E27" s="29">
        <f>SUM(E25:E26)</f>
        <v>822249</v>
      </c>
      <c r="F27" s="24"/>
      <c r="G27" s="25"/>
      <c r="H27" s="2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0BB5-F4AD-49C5-958C-C51F0DB2AD11}">
  <dimension ref="A1:O15"/>
  <sheetViews>
    <sheetView tabSelected="1" workbookViewId="0">
      <selection activeCell="I18" sqref="I18"/>
    </sheetView>
  </sheetViews>
  <sheetFormatPr baseColWidth="10" defaultRowHeight="14.4" x14ac:dyDescent="0.3"/>
  <sheetData>
    <row r="1" spans="1:15" ht="15" thickBot="1" x14ac:dyDescent="0.35">
      <c r="B1" s="7" t="s">
        <v>15</v>
      </c>
      <c r="C1" s="8" t="s">
        <v>16</v>
      </c>
      <c r="D1" s="8" t="s">
        <v>17</v>
      </c>
      <c r="E1" s="9" t="s">
        <v>18</v>
      </c>
      <c r="F1" s="58" t="s">
        <v>19</v>
      </c>
      <c r="G1" s="13" t="s">
        <v>20</v>
      </c>
      <c r="H1" s="8" t="s">
        <v>3</v>
      </c>
      <c r="I1" s="8" t="s">
        <v>21</v>
      </c>
      <c r="J1" s="8" t="s">
        <v>22</v>
      </c>
      <c r="K1" s="46" t="s">
        <v>23</v>
      </c>
      <c r="L1" s="46" t="s">
        <v>7</v>
      </c>
      <c r="M1" s="47" t="s">
        <v>24</v>
      </c>
      <c r="N1" s="48" t="s">
        <v>25</v>
      </c>
      <c r="O1" s="10" t="s">
        <v>5</v>
      </c>
    </row>
    <row r="2" spans="1:15" ht="15" thickBot="1" x14ac:dyDescent="0.35">
      <c r="A2" s="17">
        <v>1</v>
      </c>
      <c r="B2" s="15" t="s">
        <v>29</v>
      </c>
      <c r="C2" s="1" t="s">
        <v>42</v>
      </c>
      <c r="D2" s="1">
        <v>7</v>
      </c>
      <c r="E2" s="56">
        <f>F2/26/7</f>
        <v>5325.8296021978022</v>
      </c>
      <c r="F2" s="60">
        <v>969300.98759999999</v>
      </c>
      <c r="G2" s="2">
        <v>484650</v>
      </c>
      <c r="H2" s="2">
        <v>37282</v>
      </c>
      <c r="I2" s="2">
        <v>208430</v>
      </c>
      <c r="J2" s="2">
        <v>192397</v>
      </c>
      <c r="K2" s="1">
        <v>194200</v>
      </c>
      <c r="L2" s="61">
        <f>F2+H2-I2-J2-M2</f>
        <v>605755.98759999999</v>
      </c>
      <c r="M2" s="1">
        <v>0</v>
      </c>
      <c r="N2" s="5">
        <f>G2-K2</f>
        <v>290450</v>
      </c>
      <c r="O2" s="11">
        <f t="shared" ref="O2:O10" si="0">SUM(F2+H2+G2-M2)</f>
        <v>1491232.9876000001</v>
      </c>
    </row>
    <row r="3" spans="1:15" ht="15" thickBot="1" x14ac:dyDescent="0.35">
      <c r="A3" s="18">
        <v>2</v>
      </c>
      <c r="B3" s="15" t="s">
        <v>30</v>
      </c>
      <c r="C3" s="1" t="s">
        <v>42</v>
      </c>
      <c r="D3" s="1">
        <v>7</v>
      </c>
      <c r="E3" s="56">
        <f t="shared" ref="E3:E9" si="1">F3/26/7</f>
        <v>5202.7561472527468</v>
      </c>
      <c r="F3" s="60">
        <v>946901.61880000005</v>
      </c>
      <c r="G3" s="2">
        <v>473451</v>
      </c>
      <c r="H3" s="2">
        <v>36421</v>
      </c>
      <c r="I3" s="2">
        <v>208430</v>
      </c>
      <c r="J3" s="2">
        <v>192397</v>
      </c>
      <c r="K3" s="1">
        <v>194200</v>
      </c>
      <c r="L3" s="61">
        <f t="shared" ref="L3:L10" si="2">F3+H3-I3-J3-M3</f>
        <v>582495.61880000005</v>
      </c>
      <c r="M3" s="1">
        <v>0</v>
      </c>
      <c r="N3" s="5">
        <f t="shared" ref="N3:N10" si="3">G3-K3</f>
        <v>279251</v>
      </c>
      <c r="O3" s="11">
        <f t="shared" si="0"/>
        <v>1456773.6188000001</v>
      </c>
    </row>
    <row r="4" spans="1:15" ht="15" thickBot="1" x14ac:dyDescent="0.35">
      <c r="A4" s="18">
        <v>3</v>
      </c>
      <c r="B4" s="16" t="s">
        <v>32</v>
      </c>
      <c r="C4" s="1" t="s">
        <v>42</v>
      </c>
      <c r="D4" s="1">
        <v>8</v>
      </c>
      <c r="E4" s="56">
        <f>F4/26/8</f>
        <v>5830.6472000000003</v>
      </c>
      <c r="F4" s="60">
        <v>1212774.6176</v>
      </c>
      <c r="G4" s="2">
        <v>606387</v>
      </c>
      <c r="H4" s="2">
        <v>46648</v>
      </c>
      <c r="I4" s="2">
        <v>208430</v>
      </c>
      <c r="J4" s="2">
        <v>192397</v>
      </c>
      <c r="K4" s="1">
        <v>194200</v>
      </c>
      <c r="L4" s="61">
        <f t="shared" si="2"/>
        <v>858595.6176</v>
      </c>
      <c r="M4" s="1">
        <v>0</v>
      </c>
      <c r="N4" s="5">
        <f t="shared" si="3"/>
        <v>412187</v>
      </c>
      <c r="O4" s="11">
        <f t="shared" si="0"/>
        <v>1865809.6176</v>
      </c>
    </row>
    <row r="5" spans="1:15" ht="15" thickBot="1" x14ac:dyDescent="0.35">
      <c r="A5" s="18">
        <v>4</v>
      </c>
      <c r="B5" s="15" t="s">
        <v>33</v>
      </c>
      <c r="C5" s="1" t="s">
        <v>42</v>
      </c>
      <c r="D5" s="1">
        <v>7</v>
      </c>
      <c r="E5" s="56">
        <f t="shared" si="1"/>
        <v>5446.5809164835164</v>
      </c>
      <c r="F5" s="60">
        <v>991277.72680000006</v>
      </c>
      <c r="G5" s="2">
        <v>495639</v>
      </c>
      <c r="H5" s="2">
        <v>38129</v>
      </c>
      <c r="I5" s="2">
        <v>208430</v>
      </c>
      <c r="J5" s="2">
        <v>192397</v>
      </c>
      <c r="K5" s="1">
        <v>194200</v>
      </c>
      <c r="L5" s="61">
        <f t="shared" si="2"/>
        <v>628579.72680000006</v>
      </c>
      <c r="M5" s="1">
        <v>0</v>
      </c>
      <c r="N5" s="5">
        <f t="shared" si="3"/>
        <v>301439</v>
      </c>
      <c r="O5" s="11">
        <f t="shared" si="0"/>
        <v>1525045.7268000001</v>
      </c>
    </row>
    <row r="6" spans="1:15" ht="15" thickBot="1" x14ac:dyDescent="0.35">
      <c r="A6" s="18">
        <v>5</v>
      </c>
      <c r="B6" s="15" t="s">
        <v>35</v>
      </c>
      <c r="C6" s="3" t="s">
        <v>36</v>
      </c>
      <c r="D6" s="3">
        <v>8</v>
      </c>
      <c r="E6" s="56">
        <f>F6/26/8</f>
        <v>12802.832257692307</v>
      </c>
      <c r="F6" s="60">
        <v>2662989.1096000001</v>
      </c>
      <c r="G6" s="2">
        <v>1331494</v>
      </c>
      <c r="H6" s="2">
        <v>102424</v>
      </c>
      <c r="I6" s="2">
        <v>0</v>
      </c>
      <c r="J6" s="2">
        <v>1200000</v>
      </c>
      <c r="K6" s="1">
        <v>600000</v>
      </c>
      <c r="L6" s="61">
        <f t="shared" si="2"/>
        <v>1565413.1096000001</v>
      </c>
      <c r="M6" s="1">
        <v>0</v>
      </c>
      <c r="N6" s="5">
        <f t="shared" si="3"/>
        <v>731494</v>
      </c>
      <c r="O6" s="11">
        <f t="shared" si="0"/>
        <v>4096907.1096000001</v>
      </c>
    </row>
    <row r="7" spans="1:15" ht="15" thickBot="1" x14ac:dyDescent="0.35">
      <c r="A7" s="18">
        <v>6</v>
      </c>
      <c r="B7" s="15" t="s">
        <v>43</v>
      </c>
      <c r="C7" s="1" t="s">
        <v>31</v>
      </c>
      <c r="D7" s="1">
        <v>6</v>
      </c>
      <c r="E7" s="56">
        <f>F7/26/6</f>
        <v>4056.9732435897436</v>
      </c>
      <c r="F7" s="60">
        <v>632887.826</v>
      </c>
      <c r="G7" s="2">
        <v>316444</v>
      </c>
      <c r="H7" s="2">
        <v>24342</v>
      </c>
      <c r="I7" s="2">
        <v>187610</v>
      </c>
      <c r="J7" s="2">
        <v>174481</v>
      </c>
      <c r="K7" s="1">
        <v>174802</v>
      </c>
      <c r="L7" s="61">
        <f t="shared" si="2"/>
        <v>295138.826</v>
      </c>
      <c r="M7" s="1">
        <v>0</v>
      </c>
      <c r="N7" s="5">
        <f t="shared" si="3"/>
        <v>141642</v>
      </c>
      <c r="O7" s="11">
        <f t="shared" si="0"/>
        <v>973673.826</v>
      </c>
    </row>
    <row r="8" spans="1:15" ht="15" thickBot="1" x14ac:dyDescent="0.35">
      <c r="A8" s="18">
        <v>7</v>
      </c>
      <c r="B8" s="15" t="s">
        <v>44</v>
      </c>
      <c r="C8" s="1" t="s">
        <v>31</v>
      </c>
      <c r="D8" s="1">
        <v>6</v>
      </c>
      <c r="E8" s="56">
        <f>F8/26/6</f>
        <v>4056.9732435897436</v>
      </c>
      <c r="F8" s="60">
        <v>632887.826</v>
      </c>
      <c r="G8" s="2">
        <v>316444</v>
      </c>
      <c r="H8" s="2">
        <v>24342</v>
      </c>
      <c r="I8" s="2">
        <v>187610</v>
      </c>
      <c r="J8" s="2">
        <v>174481</v>
      </c>
      <c r="K8" s="1">
        <v>174802</v>
      </c>
      <c r="L8" s="61">
        <f t="shared" si="2"/>
        <v>295138.826</v>
      </c>
      <c r="M8" s="1">
        <v>0</v>
      </c>
      <c r="N8" s="5">
        <f t="shared" si="3"/>
        <v>141642</v>
      </c>
      <c r="O8" s="11">
        <f t="shared" si="0"/>
        <v>973673.826</v>
      </c>
    </row>
    <row r="9" spans="1:15" ht="15" thickBot="1" x14ac:dyDescent="0.35">
      <c r="A9" s="18">
        <v>8</v>
      </c>
      <c r="B9" s="15" t="s">
        <v>45</v>
      </c>
      <c r="C9" s="1" t="s">
        <v>31</v>
      </c>
      <c r="D9" s="1">
        <v>7</v>
      </c>
      <c r="E9" s="56">
        <f t="shared" si="1"/>
        <v>5044.8505824175818</v>
      </c>
      <c r="F9" s="60">
        <v>918162.80599999998</v>
      </c>
      <c r="G9" s="2">
        <v>459081</v>
      </c>
      <c r="H9" s="2">
        <v>35315</v>
      </c>
      <c r="I9" s="2">
        <v>187610</v>
      </c>
      <c r="J9" s="2">
        <v>174481</v>
      </c>
      <c r="K9" s="1">
        <v>174802</v>
      </c>
      <c r="L9" s="61">
        <f t="shared" si="2"/>
        <v>591386.80599999998</v>
      </c>
      <c r="M9" s="1">
        <v>0</v>
      </c>
      <c r="N9" s="5">
        <f t="shared" si="3"/>
        <v>284279</v>
      </c>
      <c r="O9" s="11">
        <f t="shared" si="0"/>
        <v>1412558.8059999999</v>
      </c>
    </row>
    <row r="10" spans="1:15" ht="15" thickBot="1" x14ac:dyDescent="0.35">
      <c r="A10" s="18">
        <v>9</v>
      </c>
      <c r="B10" s="15" t="s">
        <v>46</v>
      </c>
      <c r="C10" s="1" t="s">
        <v>31</v>
      </c>
      <c r="D10" s="1">
        <v>8</v>
      </c>
      <c r="E10" s="56">
        <f>F10/26/8</f>
        <v>4055.1106932692305</v>
      </c>
      <c r="F10" s="60">
        <v>843463.02419999999</v>
      </c>
      <c r="G10" s="2">
        <v>421731</v>
      </c>
      <c r="H10" s="2">
        <v>32440</v>
      </c>
      <c r="I10" s="2">
        <v>187610</v>
      </c>
      <c r="J10" s="2">
        <v>174481</v>
      </c>
      <c r="K10" s="1">
        <v>174802</v>
      </c>
      <c r="L10" s="61">
        <f t="shared" si="2"/>
        <v>513812.02419999999</v>
      </c>
      <c r="M10" s="1">
        <v>0</v>
      </c>
      <c r="N10" s="5">
        <f t="shared" si="3"/>
        <v>246929</v>
      </c>
      <c r="O10" s="11">
        <f t="shared" si="0"/>
        <v>1297634.0241999999</v>
      </c>
    </row>
    <row r="11" spans="1:15" ht="15" thickBot="1" x14ac:dyDescent="0.35">
      <c r="A11" s="51"/>
      <c r="B11" s="52" t="s">
        <v>5</v>
      </c>
      <c r="C11" s="53"/>
      <c r="D11" s="53"/>
      <c r="E11" s="57"/>
      <c r="F11" s="59">
        <f t="shared" ref="F11:O11" si="4">SUM(F2:F10)</f>
        <v>9810645.5426000003</v>
      </c>
      <c r="G11" s="52">
        <f t="shared" si="4"/>
        <v>4905321</v>
      </c>
      <c r="H11" s="53">
        <f t="shared" si="4"/>
        <v>377343</v>
      </c>
      <c r="I11" s="53">
        <f t="shared" si="4"/>
        <v>1584160</v>
      </c>
      <c r="J11" s="53">
        <f t="shared" si="4"/>
        <v>2667512</v>
      </c>
      <c r="K11" s="53">
        <f t="shared" si="4"/>
        <v>2076008</v>
      </c>
      <c r="L11" s="53">
        <f t="shared" si="4"/>
        <v>5936316.5426000003</v>
      </c>
      <c r="M11" s="53">
        <f t="shared" si="4"/>
        <v>0</v>
      </c>
      <c r="N11" s="53">
        <f t="shared" si="4"/>
        <v>2829313</v>
      </c>
      <c r="O11" s="53">
        <f t="shared" si="4"/>
        <v>15093309.542599998</v>
      </c>
    </row>
    <row r="13" spans="1:15" x14ac:dyDescent="0.3">
      <c r="B13" s="62" t="s">
        <v>39</v>
      </c>
      <c r="G13" s="62">
        <v>123000</v>
      </c>
    </row>
    <row r="14" spans="1:15" x14ac:dyDescent="0.3">
      <c r="B14" s="62" t="s">
        <v>0</v>
      </c>
      <c r="G14" s="12">
        <v>145040</v>
      </c>
    </row>
    <row r="15" spans="1:15" x14ac:dyDescent="0.3">
      <c r="B15" s="62" t="s">
        <v>61</v>
      </c>
      <c r="G15" s="62">
        <v>65600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629F-0508-4611-941C-91516F8CC6F9}">
  <dimension ref="A1:H27"/>
  <sheetViews>
    <sheetView topLeftCell="A16" workbookViewId="0">
      <selection activeCell="J30" sqref="J30"/>
    </sheetView>
  </sheetViews>
  <sheetFormatPr baseColWidth="10" defaultRowHeight="14.4" x14ac:dyDescent="0.3"/>
  <cols>
    <col min="1" max="2" width="16.21875" bestFit="1" customWidth="1"/>
    <col min="4" max="5" width="16.21875" bestFit="1" customWidth="1"/>
    <col min="7" max="8" width="16.21875" bestFit="1" customWidth="1"/>
  </cols>
  <sheetData>
    <row r="1" spans="1:8" ht="28.8" x14ac:dyDescent="0.55000000000000004">
      <c r="A1" s="24"/>
      <c r="B1" s="25" t="s">
        <v>1</v>
      </c>
      <c r="C1" s="25"/>
      <c r="D1" s="24"/>
      <c r="E1" s="25" t="s">
        <v>8</v>
      </c>
      <c r="G1" s="24"/>
      <c r="H1" s="25" t="s">
        <v>56</v>
      </c>
    </row>
    <row r="2" spans="1:8" ht="28.8" x14ac:dyDescent="0.55000000000000004">
      <c r="A2" s="24" t="s">
        <v>2</v>
      </c>
      <c r="B2" s="24">
        <v>969301</v>
      </c>
      <c r="C2" s="25"/>
      <c r="D2" s="24" t="s">
        <v>2</v>
      </c>
      <c r="E2" s="24">
        <v>946902</v>
      </c>
      <c r="G2" s="24" t="s">
        <v>2</v>
      </c>
      <c r="H2" s="24">
        <v>1212775</v>
      </c>
    </row>
    <row r="3" spans="1:8" ht="28.8" x14ac:dyDescent="0.55000000000000004">
      <c r="A3" s="24" t="s">
        <v>3</v>
      </c>
      <c r="B3" s="24">
        <v>37282</v>
      </c>
      <c r="C3" s="24"/>
      <c r="D3" s="24" t="s">
        <v>3</v>
      </c>
      <c r="E3" s="24">
        <v>36421</v>
      </c>
      <c r="G3" s="24" t="s">
        <v>3</v>
      </c>
      <c r="H3" s="24">
        <v>46648</v>
      </c>
    </row>
    <row r="4" spans="1:8" ht="28.8" x14ac:dyDescent="0.55000000000000004">
      <c r="A4" s="24" t="s">
        <v>58</v>
      </c>
      <c r="B4" s="24">
        <v>0</v>
      </c>
      <c r="C4" s="24"/>
      <c r="D4" s="24" t="s">
        <v>58</v>
      </c>
      <c r="E4" s="24">
        <v>0</v>
      </c>
      <c r="G4" s="24" t="s">
        <v>58</v>
      </c>
      <c r="H4" s="24">
        <v>0</v>
      </c>
    </row>
    <row r="5" spans="1:8" ht="29.4" thickBot="1" x14ac:dyDescent="0.6">
      <c r="A5" s="24"/>
      <c r="B5" s="24"/>
      <c r="C5" s="24"/>
      <c r="D5" s="24"/>
      <c r="E5" s="24">
        <v>0</v>
      </c>
      <c r="G5" s="24"/>
      <c r="H5" s="24">
        <v>0</v>
      </c>
    </row>
    <row r="6" spans="1:8" ht="29.4" thickBot="1" x14ac:dyDescent="0.6">
      <c r="A6" s="34" t="s">
        <v>5</v>
      </c>
      <c r="B6" s="34">
        <f>SUM(B2:B4)</f>
        <v>1006583</v>
      </c>
      <c r="C6" s="30"/>
      <c r="D6" s="34" t="s">
        <v>5</v>
      </c>
      <c r="E6" s="34">
        <f>SUM(E2:E5)</f>
        <v>983323</v>
      </c>
      <c r="G6" s="34" t="s">
        <v>5</v>
      </c>
      <c r="H6" s="35">
        <f>SUM(H2:H5)</f>
        <v>1259423</v>
      </c>
    </row>
    <row r="7" spans="1:8" ht="28.8" x14ac:dyDescent="0.55000000000000004">
      <c r="A7" s="28" t="s">
        <v>6</v>
      </c>
      <c r="B7" s="28">
        <f>(B6-B8)</f>
        <v>400827</v>
      </c>
      <c r="C7" s="25"/>
      <c r="D7" s="28" t="s">
        <v>6</v>
      </c>
      <c r="E7" s="28">
        <f>(E6-E8)</f>
        <v>400827</v>
      </c>
      <c r="G7" s="28" t="s">
        <v>6</v>
      </c>
      <c r="H7" s="28">
        <f>(H6-H8)</f>
        <v>400827</v>
      </c>
    </row>
    <row r="8" spans="1:8" ht="28.8" x14ac:dyDescent="0.55000000000000004">
      <c r="A8" s="28" t="s">
        <v>7</v>
      </c>
      <c r="B8" s="28">
        <v>605756</v>
      </c>
      <c r="C8" s="25"/>
      <c r="D8" s="28" t="s">
        <v>7</v>
      </c>
      <c r="E8" s="28">
        <v>582496</v>
      </c>
      <c r="G8" s="28" t="s">
        <v>7</v>
      </c>
      <c r="H8" s="28">
        <v>858596</v>
      </c>
    </row>
    <row r="9" spans="1:8" ht="28.8" x14ac:dyDescent="0.55000000000000004">
      <c r="A9" s="25"/>
      <c r="B9" s="29">
        <f>SUM(B7:B8)</f>
        <v>1006583</v>
      </c>
      <c r="C9" s="25"/>
      <c r="D9" s="25"/>
      <c r="E9" s="29">
        <f>SUM(E7:E8)</f>
        <v>983323</v>
      </c>
      <c r="G9" s="25"/>
      <c r="H9" s="29">
        <f>SUM(H7:H8)</f>
        <v>1259423</v>
      </c>
    </row>
    <row r="10" spans="1:8" ht="28.8" x14ac:dyDescent="0.55000000000000004">
      <c r="A10" s="25"/>
      <c r="B10" s="24"/>
      <c r="C10" s="24"/>
      <c r="D10" s="25"/>
      <c r="E10" s="25"/>
      <c r="F10" s="25"/>
      <c r="G10" s="25"/>
      <c r="H10" s="12"/>
    </row>
    <row r="11" spans="1:8" ht="28.8" x14ac:dyDescent="0.55000000000000004">
      <c r="A11" s="24"/>
      <c r="B11" s="25" t="s">
        <v>10</v>
      </c>
      <c r="C11" s="24"/>
      <c r="D11" s="24"/>
      <c r="E11" s="25" t="s">
        <v>51</v>
      </c>
      <c r="F11" s="24"/>
      <c r="G11" s="24"/>
      <c r="H11" s="25" t="s">
        <v>40</v>
      </c>
    </row>
    <row r="12" spans="1:8" ht="28.8" x14ac:dyDescent="0.55000000000000004">
      <c r="A12" s="24" t="s">
        <v>2</v>
      </c>
      <c r="B12" s="24">
        <v>991278</v>
      </c>
      <c r="C12" s="24"/>
      <c r="D12" s="24" t="s">
        <v>2</v>
      </c>
      <c r="E12" s="24">
        <v>632888</v>
      </c>
      <c r="F12" s="25"/>
      <c r="G12" s="24" t="s">
        <v>2</v>
      </c>
      <c r="H12" s="24">
        <v>632888</v>
      </c>
    </row>
    <row r="13" spans="1:8" ht="28.8" x14ac:dyDescent="0.55000000000000004">
      <c r="A13" s="24" t="s">
        <v>3</v>
      </c>
      <c r="B13" s="24">
        <v>38129</v>
      </c>
      <c r="C13" s="24"/>
      <c r="D13" s="24" t="s">
        <v>3</v>
      </c>
      <c r="E13" s="24">
        <v>24342</v>
      </c>
      <c r="F13" s="24"/>
      <c r="G13" s="24" t="s">
        <v>3</v>
      </c>
      <c r="H13" s="24">
        <v>24342</v>
      </c>
    </row>
    <row r="14" spans="1:8" ht="29.4" thickBot="1" x14ac:dyDescent="0.6">
      <c r="A14" s="24" t="s">
        <v>58</v>
      </c>
      <c r="B14" s="24">
        <v>0</v>
      </c>
      <c r="C14" s="24"/>
      <c r="D14" s="24" t="s">
        <v>58</v>
      </c>
      <c r="E14" s="24">
        <v>0</v>
      </c>
      <c r="F14" s="24"/>
      <c r="G14" s="24" t="s">
        <v>58</v>
      </c>
      <c r="H14" s="24">
        <v>0</v>
      </c>
    </row>
    <row r="15" spans="1:8" ht="29.4" thickBot="1" x14ac:dyDescent="0.6">
      <c r="A15" s="33" t="s">
        <v>5</v>
      </c>
      <c r="B15" s="34">
        <f>SUM(B12:B14)</f>
        <v>1029407</v>
      </c>
      <c r="C15" s="31"/>
      <c r="D15" s="34" t="s">
        <v>5</v>
      </c>
      <c r="E15" s="34">
        <f>SUM(E12:E14)</f>
        <v>657230</v>
      </c>
      <c r="F15" s="30"/>
      <c r="G15" s="34" t="s">
        <v>5</v>
      </c>
      <c r="H15" s="32">
        <f>SUM(H12:H14)</f>
        <v>657230</v>
      </c>
    </row>
    <row r="16" spans="1:8" ht="28.8" x14ac:dyDescent="0.55000000000000004">
      <c r="A16" s="28" t="s">
        <v>6</v>
      </c>
      <c r="B16" s="28">
        <f>(B15-B17)</f>
        <v>400827</v>
      </c>
      <c r="C16" s="24"/>
      <c r="D16" s="28" t="s">
        <v>6</v>
      </c>
      <c r="E16" s="28">
        <f>(E15-E17)</f>
        <v>362091</v>
      </c>
      <c r="F16" s="25"/>
      <c r="G16" s="28" t="s">
        <v>6</v>
      </c>
      <c r="H16" s="28">
        <f>(H15-H17)</f>
        <v>362091</v>
      </c>
    </row>
    <row r="17" spans="1:8" ht="28.8" x14ac:dyDescent="0.55000000000000004">
      <c r="A17" s="28" t="s">
        <v>7</v>
      </c>
      <c r="B17" s="28">
        <v>628580</v>
      </c>
      <c r="C17" s="24"/>
      <c r="D17" s="28" t="s">
        <v>7</v>
      </c>
      <c r="E17" s="28">
        <v>295139</v>
      </c>
      <c r="F17" s="25"/>
      <c r="G17" s="28" t="s">
        <v>7</v>
      </c>
      <c r="H17" s="28">
        <v>295139</v>
      </c>
    </row>
    <row r="18" spans="1:8" ht="28.8" x14ac:dyDescent="0.55000000000000004">
      <c r="A18" s="25"/>
      <c r="B18" s="29">
        <f>SUM(B16:B17)</f>
        <v>1029407</v>
      </c>
      <c r="C18" s="24"/>
      <c r="D18" s="25"/>
      <c r="E18" s="29">
        <f>SUM(E16:E17)</f>
        <v>657230</v>
      </c>
      <c r="F18" s="25"/>
      <c r="G18" s="25"/>
      <c r="H18" s="29">
        <f>SUM(H16:H17)</f>
        <v>657230</v>
      </c>
    </row>
    <row r="19" spans="1:8" ht="28.8" x14ac:dyDescent="0.55000000000000004">
      <c r="A19" s="25"/>
      <c r="B19" s="29"/>
      <c r="C19" s="24"/>
      <c r="D19" s="25"/>
      <c r="E19" s="29"/>
      <c r="F19" s="25"/>
      <c r="G19" s="25"/>
      <c r="H19" s="29"/>
    </row>
    <row r="20" spans="1:8" ht="28.8" x14ac:dyDescent="0.55000000000000004">
      <c r="A20" s="24"/>
      <c r="B20" s="25" t="s">
        <v>53</v>
      </c>
      <c r="C20" s="24"/>
      <c r="D20" s="24"/>
      <c r="E20" s="25" t="s">
        <v>54</v>
      </c>
      <c r="F20" s="25"/>
      <c r="G20" s="24"/>
      <c r="H20" s="25"/>
    </row>
    <row r="21" spans="1:8" ht="28.8" x14ac:dyDescent="0.55000000000000004">
      <c r="A21" s="24" t="s">
        <v>2</v>
      </c>
      <c r="B21" s="24">
        <v>918163</v>
      </c>
      <c r="C21" s="24"/>
      <c r="D21" s="24" t="s">
        <v>2</v>
      </c>
      <c r="E21" s="24">
        <v>843463</v>
      </c>
      <c r="F21" s="25"/>
      <c r="G21" s="24"/>
      <c r="H21" s="24"/>
    </row>
    <row r="22" spans="1:8" ht="28.8" x14ac:dyDescent="0.55000000000000004">
      <c r="A22" s="24" t="s">
        <v>3</v>
      </c>
      <c r="B22" s="24">
        <v>35315</v>
      </c>
      <c r="C22" s="24"/>
      <c r="D22" s="24" t="s">
        <v>3</v>
      </c>
      <c r="E22" s="24">
        <v>32440</v>
      </c>
      <c r="F22" s="25"/>
      <c r="G22" s="24"/>
      <c r="H22" s="24"/>
    </row>
    <row r="23" spans="1:8" ht="29.4" thickBot="1" x14ac:dyDescent="0.6">
      <c r="A23" s="24" t="s">
        <v>58</v>
      </c>
      <c r="B23" s="24">
        <v>0</v>
      </c>
      <c r="C23" s="24"/>
      <c r="D23" s="24" t="s">
        <v>58</v>
      </c>
      <c r="E23" s="24">
        <v>0</v>
      </c>
      <c r="F23" s="25"/>
      <c r="G23" s="24"/>
      <c r="H23" s="24"/>
    </row>
    <row r="24" spans="1:8" ht="29.4" thickBot="1" x14ac:dyDescent="0.6">
      <c r="A24" s="33" t="s">
        <v>5</v>
      </c>
      <c r="B24" s="34">
        <f>SUM(B21:B23)</f>
        <v>953478</v>
      </c>
      <c r="C24" s="31"/>
      <c r="D24" s="34" t="s">
        <v>5</v>
      </c>
      <c r="E24" s="35">
        <f>SUM(E21:E23)</f>
        <v>875903</v>
      </c>
      <c r="F24" s="25"/>
      <c r="G24" s="24"/>
    </row>
    <row r="25" spans="1:8" ht="28.8" x14ac:dyDescent="0.55000000000000004">
      <c r="A25" s="28" t="s">
        <v>6</v>
      </c>
      <c r="B25" s="28">
        <f>(B24-B26)</f>
        <v>362091</v>
      </c>
      <c r="C25" s="24"/>
      <c r="D25" s="28" t="s">
        <v>6</v>
      </c>
      <c r="E25" s="28">
        <f>(E24-E26)</f>
        <v>362091</v>
      </c>
      <c r="F25" s="25"/>
      <c r="G25" s="28"/>
      <c r="H25" s="28"/>
    </row>
    <row r="26" spans="1:8" ht="28.8" x14ac:dyDescent="0.55000000000000004">
      <c r="A26" s="28" t="s">
        <v>7</v>
      </c>
      <c r="B26" s="28">
        <v>591387</v>
      </c>
      <c r="C26" s="24"/>
      <c r="D26" s="28" t="s">
        <v>7</v>
      </c>
      <c r="E26" s="28">
        <v>513812</v>
      </c>
      <c r="F26" s="24"/>
      <c r="G26" s="28"/>
      <c r="H26" s="28"/>
    </row>
    <row r="27" spans="1:8" ht="28.8" x14ac:dyDescent="0.55000000000000004">
      <c r="A27" s="25"/>
      <c r="B27" s="29">
        <f>SUM(B25:B26)</f>
        <v>953478</v>
      </c>
      <c r="C27" s="24"/>
      <c r="D27" s="25"/>
      <c r="E27" s="29">
        <f>SUM(E25:E26)</f>
        <v>875903</v>
      </c>
      <c r="F27" s="24"/>
      <c r="G27" s="25"/>
      <c r="H2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R MARZO</vt:lpstr>
      <vt:lpstr>Hoja1</vt:lpstr>
      <vt:lpstr>Hoja2</vt:lpstr>
      <vt:lpstr>ENERO</vt:lpstr>
      <vt:lpstr>FEBRERO</vt:lpstr>
      <vt:lpstr>MARZO</vt:lpstr>
      <vt:lpstr>ABRIL</vt:lpstr>
      <vt:lpstr>R ABRL</vt:lpstr>
      <vt:lpstr>MAYO</vt:lpstr>
      <vt:lpstr>R.MAYO</vt:lpstr>
      <vt:lpstr>JUNIO</vt:lpstr>
      <vt:lpstr>R.JUNIO</vt:lpstr>
      <vt:lpstr>JULIO</vt:lpstr>
      <vt:lpstr>R. JULIO</vt:lpstr>
      <vt:lpstr>AGOSTO</vt:lpstr>
      <vt:lpstr>R. AGOSTO</vt:lpstr>
      <vt:lpstr>SEPTIEMBRE</vt:lpstr>
      <vt:lpstr>R. SEPTI</vt:lpstr>
      <vt:lpstr>OCTUBRE</vt:lpstr>
      <vt:lpstr>R. OCTU</vt:lpstr>
      <vt:lpstr>NOVIE</vt:lpstr>
      <vt:lpstr>R.NOV</vt:lpstr>
      <vt:lpstr>DICI</vt:lpstr>
      <vt:lpstr>R. DIC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Miriam</dc:creator>
  <cp:keywords/>
  <dc:description/>
  <cp:lastModifiedBy>Miriam Gonzalez</cp:lastModifiedBy>
  <cp:revision/>
  <dcterms:created xsi:type="dcterms:W3CDTF">2023-02-20T16:40:10Z</dcterms:created>
  <dcterms:modified xsi:type="dcterms:W3CDTF">2026-01-05T01:40:01Z</dcterms:modified>
  <cp:category/>
  <cp:contentStatus/>
</cp:coreProperties>
</file>